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jma/repos/summer26/sw/excel/"/>
    </mc:Choice>
  </mc:AlternateContent>
  <xr:revisionPtr revIDLastSave="0" documentId="13_ncr:1_{9A2DD885-75EC-754D-B4B0-F2C112B65BD5}" xr6:coauthVersionLast="47" xr6:coauthVersionMax="47" xr10:uidLastSave="{00000000-0000-0000-0000-000000000000}"/>
  <bookViews>
    <workbookView xWindow="-180" yWindow="-28080" windowWidth="39540" windowHeight="25660" xr2:uid="{43BC7A0B-55C9-8747-A177-AB76E4A55548}"/>
  </bookViews>
  <sheets>
    <sheet name="Instructions" sheetId="4" r:id="rId1"/>
    <sheet name="BayesRule" sheetId="1" r:id="rId2"/>
    <sheet name="VOI" sheetId="2" r:id="rId3"/>
    <sheet name="incomplete VOI" sheetId="3" r:id="rId4"/>
  </sheets>
  <definedNames>
    <definedName name="p">BayesRule!$D$8:$E$8</definedName>
    <definedName name="p_p">BayesRule!$D$8:$E$8</definedName>
    <definedName name="q">BayesRule!$D$9:$E$9</definedName>
    <definedName name="q_p">BayesRule!$D$9:$E$9</definedName>
    <definedName name="r_p">BayesRule!$D$10:$E$10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1" i="3" l="1"/>
  <c r="C22" i="3"/>
  <c r="C23" i="3"/>
  <c r="C24" i="3"/>
  <c r="C8" i="3" a="1"/>
  <c r="C8" i="3" s="1"/>
  <c r="Q16" i="2"/>
  <c r="Q15" i="2"/>
  <c r="Q17" i="2" s="1"/>
  <c r="O17" i="2" s="1"/>
  <c r="Q20" i="2"/>
  <c r="Q21" i="2" s="1"/>
  <c r="O18" i="2" s="1"/>
  <c r="Q19" i="2"/>
  <c r="J18" i="1" a="1"/>
  <c r="J18" i="1" s="1"/>
  <c r="J23" i="1" s="1"/>
  <c r="J17" i="1" a="1"/>
  <c r="J17" i="1" s="1"/>
  <c r="J21" i="1" s="1"/>
  <c r="H17" i="1" a="1"/>
  <c r="H17" i="1" s="1"/>
  <c r="H21" i="1" s="1"/>
  <c r="C10" i="1"/>
  <c r="C9" i="1"/>
  <c r="C8" i="1"/>
  <c r="M17" i="1" l="1" a="1"/>
  <c r="M17" i="1" s="1"/>
  <c r="H22" i="1"/>
  <c r="J22" i="1"/>
  <c r="J24" i="1"/>
  <c r="I22" i="3" a="1"/>
  <c r="I22" i="3" s="1"/>
  <c r="I18" i="3" a="1"/>
  <c r="I18" i="3" s="1"/>
  <c r="C11" i="2" a="1"/>
  <c r="C11" i="2" s="1"/>
  <c r="J19" i="2" s="1" a="1"/>
  <c r="J19" i="2" s="1"/>
  <c r="R17" i="1" a="1"/>
  <c r="C18" i="3" l="1"/>
  <c r="R22" i="1"/>
  <c r="N17" i="2" a="1"/>
  <c r="N17" i="2" s="1"/>
  <c r="J15" i="2" a="1"/>
  <c r="J15" i="2" s="1"/>
  <c r="I20" i="3"/>
  <c r="I24" i="3"/>
  <c r="J21" i="2"/>
  <c r="R17" i="1"/>
  <c r="R21" i="1" s="1"/>
  <c r="J17" i="2" l="1"/>
  <c r="N19" i="1"/>
  <c r="F18" i="3"/>
  <c r="B18" i="3"/>
  <c r="G17" i="2"/>
  <c r="B16" i="2" s="1"/>
  <c r="U17" i="1" a="1"/>
  <c r="U24" i="1" l="1"/>
  <c r="U23" i="1"/>
  <c r="U22" i="1"/>
  <c r="U17" i="1"/>
  <c r="U21" i="1" s="1"/>
  <c r="C15" i="3"/>
  <c r="C14" i="3"/>
  <c r="B15" i="3"/>
  <c r="S28" i="3" l="1" a="1"/>
  <c r="S24" i="3" a="1"/>
  <c r="B14" i="3"/>
  <c r="S24" i="3" l="1"/>
  <c r="S26" i="3" s="1"/>
  <c r="S15" i="3" a="1"/>
  <c r="S19" i="3" a="1"/>
  <c r="S28" i="3"/>
  <c r="S30" i="3" s="1"/>
  <c r="S15" i="3" l="1"/>
  <c r="S17" i="3" s="1"/>
  <c r="S19" i="3"/>
  <c r="S21" i="3" s="1"/>
  <c r="P26" i="3"/>
  <c r="P17" i="3" l="1"/>
  <c r="M18" i="3" s="1"/>
  <c r="C28"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<sst xmlns="http://schemas.openxmlformats.org/spreadsheetml/2006/main" count="131" uniqueCount="89">
  <si>
    <t>p</t>
  </si>
  <si>
    <t>q</t>
  </si>
  <si>
    <t>1-q</t>
  </si>
  <si>
    <t>pq</t>
  </si>
  <si>
    <t>p(1-q)</t>
  </si>
  <si>
    <t xml:space="preserve">1-p </t>
  </si>
  <si>
    <t>r</t>
  </si>
  <si>
    <t>1-r</t>
  </si>
  <si>
    <t>(1-p)r</t>
  </si>
  <si>
    <t>(1-p)(1-r)</t>
  </si>
  <si>
    <t>pq +(1-p)r</t>
  </si>
  <si>
    <t xml:space="preserve">p(1-q)+(1-p)(1-r) </t>
  </si>
  <si>
    <t>Terminals</t>
  </si>
  <si>
    <t>Posteriors</t>
  </si>
  <si>
    <t>Prior</t>
  </si>
  <si>
    <t>Likelihood</t>
  </si>
  <si>
    <t>Marginals</t>
  </si>
  <si>
    <t xml:space="preserve">Bayes Rule for Binary Variables.  </t>
  </si>
  <si>
    <t>Value of Complete Information</t>
  </si>
  <si>
    <t>Forward Tree, Decision before uncertainty</t>
  </si>
  <si>
    <t xml:space="preserve">Reversed Tree, Uncertainty before Decision </t>
  </si>
  <si>
    <t>Value with information</t>
  </si>
  <si>
    <t>Value without information</t>
  </si>
  <si>
    <t>VOI</t>
  </si>
  <si>
    <t>Incomplete VOI for a test node</t>
  </si>
  <si>
    <t xml:space="preserve">Decision before test and condition, </t>
  </si>
  <si>
    <t>Flip for posterior on test,  Test precedes Decision</t>
  </si>
  <si>
    <t>Values, copied from "VOI"</t>
  </si>
  <si>
    <t>Expected Value, Decision</t>
  </si>
  <si>
    <t>Maximum over D</t>
  </si>
  <si>
    <t xml:space="preserve">Value of Partial Information: </t>
  </si>
  <si>
    <t>EVPI</t>
  </si>
  <si>
    <t xml:space="preserve">Copied from the "Bayes" sheet </t>
  </si>
  <si>
    <t>check sum?</t>
  </si>
  <si>
    <t>Excel Tools for Decision Analysis</t>
  </si>
  <si>
    <t>Inputs</t>
  </si>
  <si>
    <t xml:space="preserve">Forward Direction </t>
  </si>
  <si>
    <t>Reversed Direction</t>
  </si>
  <si>
    <t xml:space="preserve">Input the probabilities for the forward  tree in the colored cells. The values will be normalized to one. </t>
  </si>
  <si>
    <t>Condition, P( C)</t>
  </si>
  <si>
    <t>Test,  P(T | C)</t>
  </si>
  <si>
    <t xml:space="preserve">Test, P( T | C') </t>
  </si>
  <si>
    <t>C</t>
  </si>
  <si>
    <t>C'</t>
  </si>
  <si>
    <t>T</t>
  </si>
  <si>
    <t>T'</t>
  </si>
  <si>
    <t>Formula</t>
  </si>
  <si>
    <t>Probabiities</t>
  </si>
  <si>
    <t>Branch Labels</t>
  </si>
  <si>
    <t>pq/P{T)</t>
  </si>
  <si>
    <t>(1-p)r/P(T)</t>
  </si>
  <si>
    <t>p(1-q)/P(T')</t>
  </si>
  <si>
    <t>(1-p)(1-r) /P(T')</t>
  </si>
  <si>
    <t>Marginals  P( T)</t>
  </si>
  <si>
    <t>Utilities</t>
  </si>
  <si>
    <t xml:space="preserve">Uncertain Variable </t>
  </si>
  <si>
    <t>E[U| D]</t>
  </si>
  <si>
    <t>E( U| D']</t>
  </si>
  <si>
    <t>DC</t>
  </si>
  <si>
    <t>DC`</t>
  </si>
  <si>
    <t>D'C</t>
  </si>
  <si>
    <t>D'C'</t>
  </si>
  <si>
    <t xml:space="preserve">MAX(D | C) </t>
  </si>
  <si>
    <t>DC'</t>
  </si>
  <si>
    <t>max(D'  | C')</t>
  </si>
  <si>
    <t>Expected Utilities</t>
  </si>
  <si>
    <t>Max Expected Utility</t>
  </si>
  <si>
    <t>Expected Max Utilities</t>
  </si>
  <si>
    <t>Max Utililties</t>
  </si>
  <si>
    <t xml:space="preserve">E [max(D)] </t>
  </si>
  <si>
    <t>max E[U| D]</t>
  </si>
  <si>
    <t>Prior Copied from "BayesRule"</t>
  </si>
  <si>
    <t>E [U | D  T]</t>
  </si>
  <si>
    <t>Expectation over P ( C | T)</t>
  </si>
  <si>
    <t>Posteriors P{ C | T )</t>
  </si>
  <si>
    <t>E [U | D'  T]</t>
  </si>
  <si>
    <t>max E[ U| T  ]</t>
  </si>
  <si>
    <t>max E [U | T']</t>
  </si>
  <si>
    <t>E [U | D  T']</t>
  </si>
  <si>
    <t>E [U | D'  T']</t>
  </si>
  <si>
    <t xml:space="preserve">E[U]  </t>
  </si>
  <si>
    <t>Priors</t>
  </si>
  <si>
    <t>Expectation over Condition, P( C)</t>
  </si>
  <si>
    <t>E[ U| D ]</t>
  </si>
  <si>
    <t>E[ U| D' ]</t>
  </si>
  <si>
    <t>Max E[U]</t>
  </si>
  <si>
    <t>Expectation over p( T )</t>
  </si>
  <si>
    <t>Value without information (same as complete VOI)</t>
  </si>
  <si>
    <t>Value with Test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</si>
</sst>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9" x14ac:knownFonts="1">
    <font>
      <sz val="12"/>
      <color theme="1"/>
      <name val="Aptos Narrow"/>
      <family val="2"/>
      <scheme val="minor"/>
    </font>
    <font>
      <sz val="12"/>
      <color theme="0"/>
      <name val="Aptos Narrow"/>
      <family val="2"/>
      <scheme val="minor"/>
    </font>
    <font>
      <b/>
      <sz val="12"/>
      <color theme="1"/>
      <name val="Aptos Narrow"/>
      <scheme val="minor"/>
    </font>
    <font>
      <i/>
      <sz val="12"/>
      <color theme="1"/>
      <name val="Aptos Narrow"/>
      <scheme val="minor"/>
    </font>
    <font>
      <sz val="12"/>
      <color theme="1"/>
      <name val="Aptos Narrow"/>
      <scheme val="minor"/>
    </font>
    <font>
      <sz val="16"/>
      <color theme="1"/>
      <name val="Aptos Narrow"/>
      <family val="2"/>
      <scheme val="minor"/>
    </font>
    <font>
      <sz val="16"/>
      <color rgb="FFC00000"/>
      <name val="Aptos Narrow"/>
      <family val="2"/>
      <scheme val="minor"/>
    </font>
    <font>
      <b/>
      <i/>
      <sz val="14"/>
      <color theme="1"/>
      <name val="Aptos Narrow"/>
      <scheme val="minor"/>
    </font>
    <font>
      <sz val="12"/>
      <color rgb="FFC00000"/>
      <name val="Aptos Narrow"/>
      <family val="2"/>
      <scheme val="minor"/>
    </font>
  </fonts>
  <fills count="13">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7" tint="0.39997558519241921"/>
        <bgColor indexed="64"/>
      </patternFill>
    </fill>
  </fills>
  <borders count="2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1">
    <xf numFmtId="0" fontId="0" fillId="0" borderId="0"/>
  </cellStyleXfs>
  <cellXfs count="1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Alignment="1">
      <alignment wrapText="1"/>
    </xf>
    <xf numFmtId="0" fontId="0" fillId="0" borderId="0" xfId="0" applyAlignment="1">
      <alignment horizontal="right"/>
    </xf>
    <xf numFmtId="0" fontId="3" fillId="0" borderId="0" xfId="0" applyFont="1"/>
    <xf numFmtId="0" fontId="2" fillId="0" borderId="0" xfId="0" applyFont="1"/>
    <xf numFmtId="0" fontId="0" fillId="0" borderId="9" xfId="0" applyBorder="1"/>
    <xf numFmtId="0" fontId="0" fillId="0" borderId="10" xfId="0" applyBorder="1"/>
    <xf numFmtId="0" fontId="0" fillId="2" borderId="0" xfId="0" applyFill="1"/>
    <xf numFmtId="0" fontId="0" fillId="3" borderId="1" xfId="0" applyFill="1" applyBorder="1"/>
    <xf numFmtId="0" fontId="5"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3" borderId="16" xfId="0" applyFill="1" applyBorder="1"/>
    <xf numFmtId="0" fontId="0" fillId="0" borderId="17" xfId="0" applyBorder="1"/>
    <xf numFmtId="0" fontId="0" fillId="0" borderId="18" xfId="0" applyBorder="1"/>
    <xf numFmtId="0" fontId="0" fillId="0" borderId="19" xfId="0" applyBorder="1"/>
    <xf numFmtId="0" fontId="4" fillId="0" borderId="0" xfId="0" applyFont="1"/>
    <xf numFmtId="0" fontId="3" fillId="0" borderId="14" xfId="0" applyFont="1" applyBorder="1"/>
    <xf numFmtId="0" fontId="3" fillId="0" borderId="15" xfId="0" applyFont="1" applyBorder="1"/>
    <xf numFmtId="0" fontId="4" fillId="0" borderId="15" xfId="0" applyFont="1" applyBorder="1"/>
    <xf numFmtId="0" fontId="2" fillId="0" borderId="15" xfId="0" applyFont="1" applyBorder="1"/>
    <xf numFmtId="0" fontId="0" fillId="0" borderId="14" xfId="0" applyBorder="1" applyAlignment="1">
      <alignment horizontal="right"/>
    </xf>
    <xf numFmtId="0" fontId="0" fillId="0" borderId="3" xfId="0" applyBorder="1" applyAlignment="1">
      <alignment horizontal="right"/>
    </xf>
    <xf numFmtId="0" fontId="0" fillId="0" borderId="5" xfId="0" applyBorder="1" applyAlignment="1">
      <alignment horizontal="right"/>
    </xf>
    <xf numFmtId="0" fontId="0" fillId="0" borderId="20" xfId="0" applyBorder="1"/>
    <xf numFmtId="0" fontId="0" fillId="3" borderId="5" xfId="0" applyFill="1" applyBorder="1"/>
    <xf numFmtId="165" fontId="0" fillId="0" borderId="0" xfId="0" applyNumberFormat="1"/>
    <xf numFmtId="165" fontId="0" fillId="0" borderId="4" xfId="0" applyNumberFormat="1" applyBorder="1"/>
    <xf numFmtId="165" fontId="0" fillId="0" borderId="6" xfId="0" applyNumberFormat="1" applyBorder="1"/>
    <xf numFmtId="165" fontId="0" fillId="0" borderId="2" xfId="0" applyNumberFormat="1" applyBorder="1"/>
    <xf numFmtId="165" fontId="0" fillId="0" borderId="3" xfId="0" applyNumberFormat="1" applyBorder="1"/>
    <xf numFmtId="165" fontId="0" fillId="0" borderId="5" xfId="0" applyNumberFormat="1" applyBorder="1"/>
    <xf numFmtId="165" fontId="4" fillId="0" borderId="2" xfId="0" applyNumberFormat="1" applyFont="1" applyBorder="1"/>
    <xf numFmtId="0" fontId="5" fillId="0" borderId="0" xfId="0" applyFont="1" applyAlignment="1">
      <alignment wrapText="1"/>
    </xf>
    <xf numFmtId="0" fontId="5" fillId="5" borderId="0" xfId="0" applyFont="1" applyFill="1"/>
    <xf numFmtId="0" fontId="6" fillId="5" borderId="0" xfId="0" applyFont="1" applyFill="1"/>
    <xf numFmtId="0" fontId="2" fillId="7" borderId="21" xfId="0" applyFont="1" applyFill="1" applyBorder="1"/>
    <xf numFmtId="0" fontId="2" fillId="0" borderId="4" xfId="0" applyFont="1" applyBorder="1" applyAlignment="1">
      <alignment horizontal="right"/>
    </xf>
    <xf numFmtId="0" fontId="0" fillId="0" borderId="9" xfId="0" applyBorder="1" applyAlignment="1">
      <alignment horizontal="right"/>
    </xf>
    <xf numFmtId="0" fontId="2" fillId="0" borderId="10" xfId="0" applyFont="1" applyBorder="1" applyAlignment="1">
      <alignment horizontal="right"/>
    </xf>
    <xf numFmtId="0" fontId="2" fillId="0" borderId="6" xfId="0" applyFont="1" applyBorder="1" applyAlignment="1">
      <alignment horizontal="right"/>
    </xf>
    <xf numFmtId="0" fontId="7" fillId="0" borderId="12" xfId="0" applyFont="1" applyBorder="1"/>
    <xf numFmtId="0" fontId="7" fillId="0" borderId="0" xfId="0" applyFont="1"/>
    <xf numFmtId="0" fontId="7" fillId="0" borderId="13" xfId="0" applyFont="1" applyBorder="1"/>
    <xf numFmtId="0" fontId="7" fillId="0" borderId="11" xfId="0" applyFont="1" applyBorder="1"/>
    <xf numFmtId="0" fontId="0" fillId="6" borderId="7" xfId="0" applyFill="1" applyBorder="1" applyAlignment="1">
      <alignment horizontal="right"/>
    </xf>
    <xf numFmtId="0" fontId="0" fillId="6" borderId="8" xfId="0" applyFill="1" applyBorder="1" applyAlignment="1">
      <alignment horizontal="right"/>
    </xf>
    <xf numFmtId="165" fontId="4" fillId="6" borderId="7" xfId="0" applyNumberFormat="1" applyFont="1" applyFill="1" applyBorder="1"/>
    <xf numFmtId="165" fontId="0" fillId="6" borderId="8" xfId="0" applyNumberFormat="1" applyFill="1" applyBorder="1"/>
    <xf numFmtId="0" fontId="0" fillId="6" borderId="3" xfId="0" applyFill="1" applyBorder="1"/>
    <xf numFmtId="0" fontId="0" fillId="6" borderId="4" xfId="0" applyFill="1" applyBorder="1"/>
    <xf numFmtId="0" fontId="0" fillId="6" borderId="5" xfId="0" applyFill="1" applyBorder="1"/>
    <xf numFmtId="0" fontId="0" fillId="6" borderId="6" xfId="0" applyFill="1" applyBorder="1"/>
    <xf numFmtId="0" fontId="0" fillId="6" borderId="3" xfId="0" applyFill="1" applyBorder="1" applyAlignment="1">
      <alignment horizontal="right"/>
    </xf>
    <xf numFmtId="0" fontId="0" fillId="6" borderId="4" xfId="0" applyFill="1" applyBorder="1" applyAlignment="1">
      <alignment horizontal="right"/>
    </xf>
    <xf numFmtId="0" fontId="0" fillId="6" borderId="5" xfId="0" applyFill="1" applyBorder="1" applyAlignment="1">
      <alignment horizontal="right"/>
    </xf>
    <xf numFmtId="0" fontId="0" fillId="6" borderId="6" xfId="0" applyFill="1" applyBorder="1" applyAlignment="1">
      <alignment horizontal="right"/>
    </xf>
    <xf numFmtId="0" fontId="4" fillId="6" borderId="3" xfId="0" applyFont="1" applyFill="1" applyBorder="1"/>
    <xf numFmtId="0" fontId="4" fillId="6" borderId="4" xfId="0" applyFont="1" applyFill="1" applyBorder="1"/>
    <xf numFmtId="0" fontId="4" fillId="6" borderId="5" xfId="0" applyFont="1" applyFill="1" applyBorder="1"/>
    <xf numFmtId="0" fontId="0" fillId="6" borderId="7" xfId="0" applyFill="1" applyBorder="1"/>
    <xf numFmtId="0" fontId="0" fillId="6" borderId="8" xfId="0" applyFill="1" applyBorder="1"/>
    <xf numFmtId="0" fontId="0" fillId="6" borderId="9" xfId="0" applyFill="1" applyBorder="1"/>
    <xf numFmtId="0" fontId="0" fillId="6" borderId="10" xfId="0" applyFill="1" applyBorder="1"/>
    <xf numFmtId="0" fontId="2" fillId="0" borderId="0" xfId="0" applyFont="1" applyAlignment="1">
      <alignment horizontal="right"/>
    </xf>
    <xf numFmtId="0" fontId="0" fillId="0" borderId="0" xfId="0" applyAlignment="1">
      <alignment horizontal="left" wrapText="1"/>
    </xf>
    <xf numFmtId="0" fontId="3" fillId="0" borderId="14" xfId="0" applyFont="1" applyBorder="1" applyAlignment="1">
      <alignment horizontal="center"/>
    </xf>
    <xf numFmtId="0" fontId="3" fillId="0" borderId="0" xfId="0" applyFont="1" applyAlignment="1">
      <alignment horizontal="center"/>
    </xf>
    <xf numFmtId="0" fontId="0" fillId="0" borderId="0" xfId="0" applyAlignment="1">
      <alignment horizontal="left" vertical="top" wrapText="1"/>
    </xf>
    <xf numFmtId="165" fontId="0" fillId="9" borderId="3" xfId="0" applyNumberFormat="1" applyFill="1" applyBorder="1"/>
    <xf numFmtId="0" fontId="0" fillId="9" borderId="4" xfId="0" applyFill="1" applyBorder="1"/>
    <xf numFmtId="0" fontId="0" fillId="9" borderId="5" xfId="0" applyFill="1" applyBorder="1"/>
    <xf numFmtId="0" fontId="0" fillId="9" borderId="6" xfId="0" applyFill="1" applyBorder="1"/>
    <xf numFmtId="0" fontId="3" fillId="0" borderId="0" xfId="0" applyFont="1" applyBorder="1" applyAlignment="1">
      <alignment horizontal="center"/>
    </xf>
    <xf numFmtId="0" fontId="0" fillId="9" borderId="1" xfId="0" applyFill="1" applyBorder="1"/>
    <xf numFmtId="0" fontId="0" fillId="9" borderId="2" xfId="0" applyFill="1" applyBorder="1"/>
    <xf numFmtId="0" fontId="0" fillId="0" borderId="0" xfId="0" applyBorder="1"/>
    <xf numFmtId="0" fontId="0" fillId="0" borderId="0" xfId="0" applyBorder="1" applyAlignment="1">
      <alignment horizontal="right"/>
    </xf>
    <xf numFmtId="0" fontId="3" fillId="0" borderId="0" xfId="0" applyFont="1" applyBorder="1"/>
    <xf numFmtId="164" fontId="0" fillId="0" borderId="0" xfId="0" applyNumberFormat="1" applyBorder="1"/>
    <xf numFmtId="0" fontId="2" fillId="0" borderId="0" xfId="0" applyFont="1" applyFill="1"/>
    <xf numFmtId="0" fontId="0" fillId="7" borderId="1" xfId="0" applyFill="1" applyBorder="1"/>
    <xf numFmtId="0" fontId="0" fillId="7" borderId="2" xfId="0" applyFill="1" applyBorder="1"/>
    <xf numFmtId="164" fontId="0" fillId="7" borderId="3" xfId="0" applyNumberFormat="1" applyFill="1" applyBorder="1"/>
    <xf numFmtId="164" fontId="0" fillId="7" borderId="4" xfId="0" applyNumberFormat="1" applyFill="1" applyBorder="1"/>
    <xf numFmtId="164" fontId="0" fillId="7" borderId="5" xfId="0" applyNumberFormat="1" applyFill="1" applyBorder="1"/>
    <xf numFmtId="164" fontId="0" fillId="7" borderId="6" xfId="0" applyNumberFormat="1" applyFill="1" applyBorder="1"/>
    <xf numFmtId="0" fontId="6" fillId="10" borderId="0" xfId="0" applyFont="1" applyFill="1"/>
    <xf numFmtId="0" fontId="8" fillId="10" borderId="0" xfId="0" applyFont="1" applyFill="1"/>
    <xf numFmtId="0" fontId="0" fillId="7" borderId="4" xfId="0" applyFill="1" applyBorder="1"/>
    <xf numFmtId="0" fontId="0" fillId="7" borderId="10" xfId="0" applyFill="1" applyBorder="1"/>
    <xf numFmtId="0" fontId="0" fillId="7" borderId="6" xfId="0" applyFill="1" applyBorder="1"/>
    <xf numFmtId="0" fontId="0" fillId="2" borderId="7" xfId="0" applyFill="1" applyBorder="1"/>
    <xf numFmtId="0" fontId="0" fillId="7" borderId="8" xfId="0" applyFill="1" applyBorder="1"/>
    <xf numFmtId="164" fontId="0" fillId="4" borderId="2" xfId="0" applyNumberFormat="1" applyFill="1" applyBorder="1"/>
    <xf numFmtId="0" fontId="0" fillId="2" borderId="1" xfId="0" applyFill="1" applyBorder="1"/>
    <xf numFmtId="165" fontId="6" fillId="10" borderId="0" xfId="0" applyNumberFormat="1" applyFont="1" applyFill="1"/>
    <xf numFmtId="0" fontId="1" fillId="0" borderId="0" xfId="0" applyFont="1" applyBorder="1"/>
    <xf numFmtId="0" fontId="0" fillId="11" borderId="5" xfId="0" applyFill="1" applyBorder="1"/>
    <xf numFmtId="0" fontId="0" fillId="11" borderId="1" xfId="0" applyFill="1" applyBorder="1"/>
    <xf numFmtId="0" fontId="0" fillId="0" borderId="10" xfId="0" applyFill="1" applyBorder="1"/>
    <xf numFmtId="0" fontId="0" fillId="8" borderId="14" xfId="0" applyFill="1" applyBorder="1"/>
    <xf numFmtId="0" fontId="0" fillId="8" borderId="0" xfId="0" applyFill="1" applyBorder="1"/>
    <xf numFmtId="0" fontId="4" fillId="0" borderId="0" xfId="0" applyFont="1" applyBorder="1"/>
    <xf numFmtId="165" fontId="0" fillId="0" borderId="13" xfId="0" applyNumberFormat="1" applyBorder="1"/>
    <xf numFmtId="165" fontId="0" fillId="0" borderId="15" xfId="0" applyNumberFormat="1" applyBorder="1"/>
    <xf numFmtId="165" fontId="0" fillId="0" borderId="22" xfId="0" applyNumberFormat="1" applyBorder="1"/>
    <xf numFmtId="165" fontId="0" fillId="0" borderId="23" xfId="0" applyNumberFormat="1" applyBorder="1"/>
    <xf numFmtId="0" fontId="4" fillId="12" borderId="16" xfId="0" applyFont="1" applyFill="1" applyBorder="1"/>
    <xf numFmtId="0" fontId="4" fillId="0" borderId="14" xfId="0" applyFont="1" applyBorder="1"/>
    <xf numFmtId="165" fontId="0" fillId="0" borderId="19" xfId="0" applyNumberFormat="1" applyBorder="1"/>
  </cellXfs>
  <cellStyles count="1">
    <cellStyle name="Normal" xfId="0" builtinId="0"/>
  </cellStyles>
  <dxfs count="0"/>
  <tableStyles count="0" defaultTableStyle="TableStyleMedium2" defaultPivotStyle="PivotStyleLight16"/>
  <colors>
    <mruColors>
      <color rgb="FF83F199"/>
      <color rgb="FF3FBA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42334</xdr:colOff>
      <xdr:row>3</xdr:row>
      <xdr:rowOff>16933</xdr:rowOff>
    </xdr:from>
    <xdr:to>
      <xdr:col>6</xdr:col>
      <xdr:colOff>821267</xdr:colOff>
      <xdr:row>38</xdr:row>
      <xdr:rowOff>25400</xdr:rowOff>
    </xdr:to>
    <xdr:sp macro="" textlink="">
      <xdr:nvSpPr>
        <xdr:cNvPr id="2" name="TextBox 1">
          <a:extLst>
            <a:ext uri="{FF2B5EF4-FFF2-40B4-BE49-F238E27FC236}">
              <a16:creationId xmlns:a16="http://schemas.microsoft.com/office/drawing/2014/main" id="{DE50B0FB-CB92-908E-DE29-A80CB6B10C40}"/>
            </a:ext>
          </a:extLst>
        </xdr:cNvPr>
        <xdr:cNvSpPr txBox="1"/>
      </xdr:nvSpPr>
      <xdr:spPr>
        <a:xfrm>
          <a:off x="872067" y="702733"/>
          <a:ext cx="4927600" cy="716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workbook has </a:t>
          </a:r>
          <a:r>
            <a:rPr lang="en-US" sz="1100" b="1"/>
            <a:t>three worksheets</a:t>
          </a:r>
          <a:r>
            <a:rPr lang="en-US" sz="1100"/>
            <a:t>, shown by the tabs below. They automate  basic calculations for building</a:t>
          </a:r>
          <a:r>
            <a:rPr lang="en-US" sz="1100" baseline="0"/>
            <a:t> components for a decision model with binary variables. They are computational tools that you can use instead of hand-calculating the steps needed to analyze nodes in a decision-probability tree, or causal decision network.  You can copy your probability and utilities into spreadsheet, then copy the results into parts of your model, in other diagrams or software for the entire model. </a:t>
          </a:r>
        </a:p>
        <a:p>
          <a:endParaRPr lang="en-US" sz="1100" baseline="0"/>
        </a:p>
        <a:p>
          <a:r>
            <a:rPr lang="en-US" sz="1100" baseline="0"/>
            <a:t>All computations are done using spreadsheet formulas. They compute arithmetic operations on arrays for expected values and maximizations.  There are no "hidden" macros of VBA code used.  You should be able to extend the spreadsheets to suit your needs if you are versed in building spreadsheets. </a:t>
          </a:r>
        </a:p>
        <a:p>
          <a:endParaRPr lang="en-US" sz="1100" baseline="0"/>
        </a:p>
        <a:p>
          <a:r>
            <a:rPr lang="en-US" sz="1100" baseline="0"/>
            <a:t>Each sheet has cells for input values.  Inputs are shared from one sheet to the next, so if you input probabilities in one sheet, they appear in later sheets.   All computed values are "live" -- as soon as you change </a:t>
          </a:r>
        </a:p>
        <a:p>
          <a:endParaRPr lang="en-US" sz="1100" baseline="0"/>
        </a:p>
        <a:p>
          <a:r>
            <a:rPr lang="en-US" sz="1100" baseline="0"/>
            <a:t>These sheets are included as sheets shown on the tabs below. </a:t>
          </a:r>
        </a:p>
        <a:p>
          <a:endParaRPr lang="en-US" sz="1100" baseline="0"/>
        </a:p>
        <a:p>
          <a:r>
            <a:rPr lang="en-US" sz="1100" u="sng" baseline="0"/>
            <a:t>1. Bayes Rule</a:t>
          </a:r>
        </a:p>
        <a:p>
          <a:r>
            <a:rPr lang="en-US" sz="1100" u="none" baseline="0"/>
            <a:t>Convert prior and likelihood probabilities into marginal and posterior distributions.  The "condition" variable holds the prior probability, and the "test" holds the likelihood probability.  The inputs (prior and posterior) and output cells (marginal and posterior) are shaded in orange. </a:t>
          </a:r>
        </a:p>
        <a:p>
          <a:endParaRPr lang="en-US" sz="1100" u="sng" baseline="0"/>
        </a:p>
        <a:p>
          <a:endParaRPr lang="en-US" sz="1100" baseline="0"/>
        </a:p>
        <a:p>
          <a:r>
            <a:rPr lang="en-US" sz="1100" u="sng" baseline="0"/>
            <a:t>2. Value of complete Information</a:t>
          </a:r>
        </a:p>
        <a:p>
          <a:endParaRPr lang="en-US" sz="1100" u="sng" baseline="0"/>
        </a:p>
        <a:p>
          <a:r>
            <a:rPr lang="en-US" sz="1100" u="none" baseline="0"/>
            <a:t>The input cells take the utilities for each termonal node.  The prior probabilities are copied from "Bayes Rule."</a:t>
          </a:r>
        </a:p>
        <a:p>
          <a:endParaRPr lang="en-US" sz="1100" u="none" baseline="0"/>
        </a:p>
        <a:p>
          <a:r>
            <a:rPr lang="en-US" sz="1100" u="none" baseline="0"/>
            <a:t>The output, shaded in orange is the value of information, of observing the "condition" variable before making the decision. </a:t>
          </a:r>
        </a:p>
        <a:p>
          <a:endParaRPr lang="en-US" sz="1100" baseline="0"/>
        </a:p>
        <a:p>
          <a:r>
            <a:rPr lang="en-US" sz="1100" u="sng" baseline="0"/>
            <a:t>3. Value of test (partial) information</a:t>
          </a:r>
        </a:p>
        <a:p>
          <a:endParaRPr lang="en-US" sz="1100" baseline="0"/>
        </a:p>
        <a:p>
          <a:r>
            <a:rPr lang="en-US" sz="1100"/>
            <a:t>The utilities are</a:t>
          </a:r>
          <a:r>
            <a:rPr lang="en-US" sz="1100" baseline="0"/>
            <a:t> copied from the "VOI" sheet, and the prior, marginal, and posterior probabilities are copied from the "Bayes" sheet. </a:t>
          </a:r>
        </a:p>
        <a:p>
          <a:endParaRPr lang="en-US" sz="1100" baseline="0"/>
        </a:p>
        <a:p>
          <a:r>
            <a:rPr lang="en-US" sz="1100" baseline="0"/>
            <a:t>There are no additional inputs.  The output Expected value of test information is shown in the shaded cell.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340684</xdr:colOff>
      <xdr:row>28</xdr:row>
      <xdr:rowOff>104819</xdr:rowOff>
    </xdr:from>
    <xdr:to>
      <xdr:col>23</xdr:col>
      <xdr:colOff>563510</xdr:colOff>
      <xdr:row>38</xdr:row>
      <xdr:rowOff>170935</xdr:rowOff>
    </xdr:to>
    <xdr:grpSp>
      <xdr:nvGrpSpPr>
        <xdr:cNvPr id="5" name="Group 4">
          <a:extLst>
            <a:ext uri="{FF2B5EF4-FFF2-40B4-BE49-F238E27FC236}">
              <a16:creationId xmlns:a16="http://schemas.microsoft.com/office/drawing/2014/main" id="{0BB70838-D514-50A6-3F8A-85404FECB681}"/>
            </a:ext>
          </a:extLst>
        </xdr:cNvPr>
        <xdr:cNvGrpSpPr/>
      </xdr:nvGrpSpPr>
      <xdr:grpSpPr>
        <a:xfrm>
          <a:off x="11686578" y="6404355"/>
          <a:ext cx="6959713" cy="2084659"/>
          <a:chOff x="12200466" y="5986069"/>
          <a:chExt cx="8295019" cy="2099462"/>
        </a:xfrm>
      </xdr:grpSpPr>
      <xdr:sp macro="" textlink="">
        <xdr:nvSpPr>
          <xdr:cNvPr id="21" name="Freeform 20">
            <a:extLst>
              <a:ext uri="{FF2B5EF4-FFF2-40B4-BE49-F238E27FC236}">
                <a16:creationId xmlns:a16="http://schemas.microsoft.com/office/drawing/2014/main" id="{4B505718-DAA0-7448-AD5E-8EC17CEED522}"/>
              </a:ext>
            </a:extLst>
          </xdr:cNvPr>
          <xdr:cNvSpPr/>
        </xdr:nvSpPr>
        <xdr:spPr>
          <a:xfrm rot="20436911" flipV="1">
            <a:off x="12664937" y="6713323"/>
            <a:ext cx="1116553" cy="48992"/>
          </a:xfrm>
          <a:custGeom>
            <a:avLst/>
            <a:gdLst>
              <a:gd name="csX0" fmla="*/ 0 w 781533"/>
              <a:gd name="csY0" fmla="*/ 18303 h 36606"/>
              <a:gd name="csX1" fmla="*/ 781533 w 781533"/>
              <a:gd name="csY1" fmla="*/ 18303 h 36606"/>
            </a:gdLst>
            <a:ahLst/>
            <a:cxnLst>
              <a:cxn ang="0">
                <a:pos x="csX0" y="csY0"/>
              </a:cxn>
              <a:cxn ang="0">
                <a:pos x="csX1" y="csY1"/>
              </a:cxn>
            </a:cxnLst>
            <a:rect l="l" t="t" r="r" b="b"/>
            <a:pathLst>
              <a:path w="781533" h="36606">
                <a:moveTo>
                  <a:pt x="0" y="18303"/>
                </a:moveTo>
                <a:lnTo>
                  <a:pt x="781533" y="18303"/>
                </a:lnTo>
              </a:path>
            </a:pathLst>
          </a:custGeom>
          <a:noFill/>
        </xdr:spPr>
        <xdr:style>
          <a:lnRef idx="2">
            <a:schemeClr val="accent3">
              <a:hueOff val="0"/>
              <a:satOff val="0"/>
              <a:lumOff val="0"/>
              <a:alphaOff val="0"/>
            </a:schemeClr>
          </a:lnRef>
          <a:fillRef idx="0">
            <a:scrgbClr r="0" g="0" b="0"/>
          </a:fillRef>
          <a:effectRef idx="0">
            <a:schemeClr val="accent2">
              <a:tint val="90000"/>
              <a:hueOff val="0"/>
              <a:satOff val="0"/>
              <a:lumOff val="0"/>
              <a:alphaOff val="0"/>
            </a:schemeClr>
          </a:effectRef>
          <a:fontRef idx="minor">
            <a:schemeClr val="tx1">
              <a:hueOff val="0"/>
              <a:satOff val="0"/>
              <a:lumOff val="0"/>
              <a:alphaOff val="0"/>
            </a:schemeClr>
          </a:fontRef>
        </xdr:style>
        <xdr:txBody>
          <a:bodyPr spcFirstLastPara="0" vert="horz" wrap="square" lIns="383927" tIns="-1236" rIns="383929" bIns="-1235"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R$21">
        <xdr:nvSpPr>
          <xdr:cNvPr id="22" name="Freeform 21">
            <a:extLst>
              <a:ext uri="{FF2B5EF4-FFF2-40B4-BE49-F238E27FC236}">
                <a16:creationId xmlns:a16="http://schemas.microsoft.com/office/drawing/2014/main" id="{57B54E8A-86BF-4F47-9A94-EB4DF073BE19}"/>
              </a:ext>
            </a:extLst>
          </xdr:cNvPr>
          <xdr:cNvSpPr/>
        </xdr:nvSpPr>
        <xdr:spPr>
          <a:xfrm>
            <a:off x="13806177" y="6257348"/>
            <a:ext cx="2960778"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chemeClr val="accent1">
              <a:lumMod val="40000"/>
              <a:lumOff val="60000"/>
            </a:schemeClr>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3">
              <a:hueOff val="0"/>
              <a:satOff val="0"/>
              <a:lumOff val="0"/>
              <a:alphaOff val="0"/>
            </a:schemeClr>
          </a:fillRef>
          <a:effectRef idx="1">
            <a:schemeClr val="accent3">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A4CE64FD-603B-7240-9541-F5FE98DA066D}"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T ) =0.392</a:t>
            </a:fld>
            <a:endParaRPr lang="en-US" sz="1600" kern="1200"/>
          </a:p>
        </xdr:txBody>
      </xdr:sp>
      <xdr:sp macro="" textlink="">
        <xdr:nvSpPr>
          <xdr:cNvPr id="23" name="Freeform 22">
            <a:extLst>
              <a:ext uri="{FF2B5EF4-FFF2-40B4-BE49-F238E27FC236}">
                <a16:creationId xmlns:a16="http://schemas.microsoft.com/office/drawing/2014/main" id="{4B3A99D1-0560-184E-8D6D-9A622FE5A028}"/>
              </a:ext>
            </a:extLst>
          </xdr:cNvPr>
          <xdr:cNvSpPr/>
        </xdr:nvSpPr>
        <xdr:spPr>
          <a:xfrm rot="20566984">
            <a:off x="16728822" y="6320789"/>
            <a:ext cx="1125324" cy="59294"/>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3" tIns="4562" rIns="273772" bIns="4562"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U$21">
        <xdr:nvSpPr>
          <xdr:cNvPr id="24" name="Freeform 23">
            <a:extLst>
              <a:ext uri="{FF2B5EF4-FFF2-40B4-BE49-F238E27FC236}">
                <a16:creationId xmlns:a16="http://schemas.microsoft.com/office/drawing/2014/main" id="{A0AF6742-F600-D644-8E4B-51F55D35C2D8}"/>
              </a:ext>
            </a:extLst>
          </xdr:cNvPr>
          <xdr:cNvSpPr/>
        </xdr:nvSpPr>
        <xdr:spPr>
          <a:xfrm>
            <a:off x="17856441" y="5986069"/>
            <a:ext cx="2639044"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rgbClr val="83F199"/>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4">
              <a:hueOff val="0"/>
              <a:satOff val="0"/>
              <a:lumOff val="0"/>
              <a:alphaOff val="0"/>
            </a:schemeClr>
          </a:fillRef>
          <a:effectRef idx="1">
            <a:schemeClr val="accent4">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70009033-83B6-4B47-841C-86E8D86D4742}"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C| T  )= 0.826</a:t>
            </a:fld>
            <a:endParaRPr lang="en-US" sz="1600" kern="1200"/>
          </a:p>
        </xdr:txBody>
      </xdr:sp>
      <xdr:sp macro="" textlink="">
        <xdr:nvSpPr>
          <xdr:cNvPr id="25" name="Freeform 24">
            <a:extLst>
              <a:ext uri="{FF2B5EF4-FFF2-40B4-BE49-F238E27FC236}">
                <a16:creationId xmlns:a16="http://schemas.microsoft.com/office/drawing/2014/main" id="{3C564A62-37AE-3447-8907-938C82AB278D}"/>
              </a:ext>
            </a:extLst>
          </xdr:cNvPr>
          <xdr:cNvSpPr/>
        </xdr:nvSpPr>
        <xdr:spPr>
          <a:xfrm rot="866324" flipV="1">
            <a:off x="16737131" y="6543489"/>
            <a:ext cx="1204878" cy="296006"/>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2" tIns="4561" rIns="273773" bIns="4563"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U$22">
        <xdr:nvSpPr>
          <xdr:cNvPr id="26" name="Freeform 25">
            <a:extLst>
              <a:ext uri="{FF2B5EF4-FFF2-40B4-BE49-F238E27FC236}">
                <a16:creationId xmlns:a16="http://schemas.microsoft.com/office/drawing/2014/main" id="{4FFFD82A-F177-4E42-BD47-900289514C77}"/>
              </a:ext>
            </a:extLst>
          </xdr:cNvPr>
          <xdr:cNvSpPr/>
        </xdr:nvSpPr>
        <xdr:spPr>
          <a:xfrm>
            <a:off x="17856441" y="6528626"/>
            <a:ext cx="2639044"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rgbClr val="83F199"/>
          </a:solidFill>
        </xdr:spPr>
        <xdr:style>
          <a:lnRef idx="2">
            <a:schemeClr val="accent2">
              <a:shade val="15000"/>
            </a:schemeClr>
          </a:lnRef>
          <a:fillRef idx="1">
            <a:schemeClr val="accent2"/>
          </a:fillRef>
          <a:effectRef idx="0">
            <a:schemeClr val="accent2"/>
          </a:effectRef>
          <a:fontRef idx="minor">
            <a:schemeClr val="lt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EB4E5287-1DB8-124A-A8FC-ADB9D6B001D7}"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C' | T ) = 0.174</a:t>
            </a:fld>
            <a:endParaRPr lang="en-US" sz="1600" kern="1200"/>
          </a:p>
        </xdr:txBody>
      </xdr:sp>
      <xdr:sp macro="" textlink="">
        <xdr:nvSpPr>
          <xdr:cNvPr id="27" name="Freeform 26">
            <a:extLst>
              <a:ext uri="{FF2B5EF4-FFF2-40B4-BE49-F238E27FC236}">
                <a16:creationId xmlns:a16="http://schemas.microsoft.com/office/drawing/2014/main" id="{5E96E538-8AD2-B746-8F32-25CF86832079}"/>
              </a:ext>
            </a:extLst>
          </xdr:cNvPr>
          <xdr:cNvSpPr/>
        </xdr:nvSpPr>
        <xdr:spPr>
          <a:xfrm rot="1235483" flipV="1">
            <a:off x="12683924" y="7182592"/>
            <a:ext cx="1111165" cy="396683"/>
          </a:xfrm>
          <a:custGeom>
            <a:avLst/>
            <a:gdLst>
              <a:gd name="csX0" fmla="*/ 0 w 781533"/>
              <a:gd name="csY0" fmla="*/ 18303 h 36606"/>
              <a:gd name="csX1" fmla="*/ 781533 w 781533"/>
              <a:gd name="csY1" fmla="*/ 18303 h 36606"/>
            </a:gdLst>
            <a:ahLst/>
            <a:cxnLst>
              <a:cxn ang="0">
                <a:pos x="csX0" y="csY0"/>
              </a:cxn>
              <a:cxn ang="0">
                <a:pos x="csX1" y="csY1"/>
              </a:cxn>
            </a:cxnLst>
            <a:rect l="l" t="t" r="r" b="b"/>
            <a:pathLst>
              <a:path w="781533" h="36606">
                <a:moveTo>
                  <a:pt x="0" y="18303"/>
                </a:moveTo>
                <a:lnTo>
                  <a:pt x="781533" y="18303"/>
                </a:lnTo>
              </a:path>
            </a:pathLst>
          </a:custGeom>
          <a:noFill/>
        </xdr:spPr>
        <xdr:style>
          <a:lnRef idx="2">
            <a:schemeClr val="accent3">
              <a:hueOff val="0"/>
              <a:satOff val="0"/>
              <a:lumOff val="0"/>
              <a:alphaOff val="0"/>
            </a:schemeClr>
          </a:lnRef>
          <a:fillRef idx="0">
            <a:scrgbClr r="0" g="0" b="0"/>
          </a:fillRef>
          <a:effectRef idx="0">
            <a:schemeClr val="accent2">
              <a:tint val="90000"/>
              <a:hueOff val="0"/>
              <a:satOff val="0"/>
              <a:lumOff val="0"/>
              <a:alphaOff val="0"/>
            </a:schemeClr>
          </a:effectRef>
          <a:fontRef idx="minor">
            <a:schemeClr val="tx1">
              <a:hueOff val="0"/>
              <a:satOff val="0"/>
              <a:lumOff val="0"/>
              <a:alphaOff val="0"/>
            </a:schemeClr>
          </a:fontRef>
        </xdr:style>
        <xdr:txBody>
          <a:bodyPr spcFirstLastPara="0" vert="horz" wrap="square" lIns="383927" tIns="-1236" rIns="383929" bIns="-1235"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R$22">
        <xdr:nvSpPr>
          <xdr:cNvPr id="28" name="Freeform 27">
            <a:extLst>
              <a:ext uri="{FF2B5EF4-FFF2-40B4-BE49-F238E27FC236}">
                <a16:creationId xmlns:a16="http://schemas.microsoft.com/office/drawing/2014/main" id="{1DA2364F-77DE-B240-A2E4-C76878DD3CB4}"/>
              </a:ext>
            </a:extLst>
          </xdr:cNvPr>
          <xdr:cNvSpPr/>
        </xdr:nvSpPr>
        <xdr:spPr>
          <a:xfrm>
            <a:off x="13823111" y="7342463"/>
            <a:ext cx="2960778"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chemeClr val="accent1">
              <a:lumMod val="40000"/>
              <a:lumOff val="60000"/>
            </a:schemeClr>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3">
              <a:hueOff val="0"/>
              <a:satOff val="0"/>
              <a:lumOff val="0"/>
              <a:alphaOff val="0"/>
            </a:schemeClr>
          </a:fillRef>
          <a:effectRef idx="1">
            <a:schemeClr val="accent3">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99E79DF4-79B8-F94E-A0E3-AB29CA0E4D97}"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T' )= 0.608</a:t>
            </a:fld>
            <a:endParaRPr lang="en-US" sz="1600" kern="1200"/>
          </a:p>
        </xdr:txBody>
      </xdr:sp>
      <xdr:sp macro="" textlink="$U$23">
        <xdr:nvSpPr>
          <xdr:cNvPr id="30" name="Freeform 29">
            <a:extLst>
              <a:ext uri="{FF2B5EF4-FFF2-40B4-BE49-F238E27FC236}">
                <a16:creationId xmlns:a16="http://schemas.microsoft.com/office/drawing/2014/main" id="{3D8921F8-3429-5A45-8878-53964B602854}"/>
              </a:ext>
            </a:extLst>
          </xdr:cNvPr>
          <xdr:cNvSpPr/>
        </xdr:nvSpPr>
        <xdr:spPr>
          <a:xfrm>
            <a:off x="17856441" y="7071185"/>
            <a:ext cx="2639044"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rgbClr val="83F199"/>
          </a:solidFill>
          <a:scene3d>
            <a:camera prst="orthographicFront"/>
            <a:lightRig rig="flat" dir="t"/>
          </a:scene3d>
          <a:sp3d prstMaterial="dkEdge">
            <a:bevelT w="8200" h="38100"/>
          </a:sp3d>
        </xdr:spPr>
        <xdr:style>
          <a:lnRef idx="0">
            <a:schemeClr val="lt1">
              <a:hueOff val="0"/>
              <a:satOff val="0"/>
              <a:lumOff val="0"/>
              <a:alphaOff val="0"/>
            </a:schemeClr>
          </a:lnRef>
          <a:fillRef idx="2">
            <a:scrgbClr r="0" g="0" b="0"/>
          </a:fillRef>
          <a:effectRef idx="1">
            <a:schemeClr val="accent4">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1B69E460-44EB-F14F-A8A1-06989632B977}"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C | T'  )=  0.381</a:t>
            </a:fld>
            <a:endParaRPr lang="en-US" sz="1600" kern="1200"/>
          </a:p>
        </xdr:txBody>
      </xdr:sp>
      <xdr:sp macro="" textlink="$U$24">
        <xdr:nvSpPr>
          <xdr:cNvPr id="32" name="Freeform 31">
            <a:extLst>
              <a:ext uri="{FF2B5EF4-FFF2-40B4-BE49-F238E27FC236}">
                <a16:creationId xmlns:a16="http://schemas.microsoft.com/office/drawing/2014/main" id="{B248BFB2-3FAE-5149-A9CB-BB80E83F14DB}"/>
              </a:ext>
            </a:extLst>
          </xdr:cNvPr>
          <xdr:cNvSpPr/>
        </xdr:nvSpPr>
        <xdr:spPr>
          <a:xfrm>
            <a:off x="17856441" y="7613742"/>
            <a:ext cx="2639044"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rgbClr val="83F199"/>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4">
              <a:hueOff val="0"/>
              <a:satOff val="0"/>
              <a:lumOff val="0"/>
              <a:alphaOff val="0"/>
            </a:schemeClr>
          </a:fillRef>
          <a:effectRef idx="1">
            <a:schemeClr val="accent4">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EFF39A64-DFA3-5241-81DC-312864F0C287}"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C' | T' ) = 0.619</a:t>
            </a:fld>
            <a:endParaRPr lang="en-US" sz="1600" kern="1200"/>
          </a:p>
        </xdr:txBody>
      </xdr:sp>
      <xdr:sp macro="" textlink="">
        <xdr:nvSpPr>
          <xdr:cNvPr id="33" name="Oval 32">
            <a:extLst>
              <a:ext uri="{FF2B5EF4-FFF2-40B4-BE49-F238E27FC236}">
                <a16:creationId xmlns:a16="http://schemas.microsoft.com/office/drawing/2014/main" id="{0377ABB6-1E2A-9E47-BB9A-D7B274CF469A}"/>
              </a:ext>
            </a:extLst>
          </xdr:cNvPr>
          <xdr:cNvSpPr/>
        </xdr:nvSpPr>
        <xdr:spPr>
          <a:xfrm>
            <a:off x="12200466" y="6739466"/>
            <a:ext cx="609598" cy="575733"/>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T</a:t>
            </a:r>
          </a:p>
        </xdr:txBody>
      </xdr:sp>
      <xdr:sp macro="" textlink="">
        <xdr:nvSpPr>
          <xdr:cNvPr id="34" name="Freeform 33">
            <a:extLst>
              <a:ext uri="{FF2B5EF4-FFF2-40B4-BE49-F238E27FC236}">
                <a16:creationId xmlns:a16="http://schemas.microsoft.com/office/drawing/2014/main" id="{86E87ACF-6C80-5248-B79C-B78D20B5B93D}"/>
              </a:ext>
            </a:extLst>
          </xdr:cNvPr>
          <xdr:cNvSpPr/>
        </xdr:nvSpPr>
        <xdr:spPr>
          <a:xfrm rot="20566984">
            <a:off x="16745756" y="7387589"/>
            <a:ext cx="1125324" cy="59294"/>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3" tIns="4562" rIns="273772" bIns="4562"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
        <xdr:nvSpPr>
          <xdr:cNvPr id="35" name="Freeform 34">
            <a:extLst>
              <a:ext uri="{FF2B5EF4-FFF2-40B4-BE49-F238E27FC236}">
                <a16:creationId xmlns:a16="http://schemas.microsoft.com/office/drawing/2014/main" id="{E40BB625-CD7E-E240-BBA7-4C171218DCAF}"/>
              </a:ext>
            </a:extLst>
          </xdr:cNvPr>
          <xdr:cNvSpPr/>
        </xdr:nvSpPr>
        <xdr:spPr>
          <a:xfrm rot="866324" flipV="1">
            <a:off x="16754065" y="7610289"/>
            <a:ext cx="1204878" cy="296006"/>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2" tIns="4561" rIns="273773" bIns="4563"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grpSp>
    <xdr:clientData/>
  </xdr:twoCellAnchor>
  <xdr:twoCellAnchor>
    <xdr:from>
      <xdr:col>6</xdr:col>
      <xdr:colOff>270931</xdr:colOff>
      <xdr:row>28</xdr:row>
      <xdr:rowOff>42468</xdr:rowOff>
    </xdr:from>
    <xdr:to>
      <xdr:col>14</xdr:col>
      <xdr:colOff>160865</xdr:colOff>
      <xdr:row>39</xdr:row>
      <xdr:rowOff>126863</xdr:rowOff>
    </xdr:to>
    <xdr:grpSp>
      <xdr:nvGrpSpPr>
        <xdr:cNvPr id="4" name="Group 3">
          <a:extLst>
            <a:ext uri="{FF2B5EF4-FFF2-40B4-BE49-F238E27FC236}">
              <a16:creationId xmlns:a16="http://schemas.microsoft.com/office/drawing/2014/main" id="{ABD2A140-5EAE-1511-9C82-A401B087B1D9}"/>
            </a:ext>
          </a:extLst>
        </xdr:cNvPr>
        <xdr:cNvGrpSpPr/>
      </xdr:nvGrpSpPr>
      <xdr:grpSpPr>
        <a:xfrm>
          <a:off x="4577156" y="6342004"/>
          <a:ext cx="6576358" cy="2321614"/>
          <a:chOff x="2235199" y="5562735"/>
          <a:chExt cx="7806268" cy="2099462"/>
        </a:xfrm>
      </xdr:grpSpPr>
      <xdr:sp macro="" textlink="">
        <xdr:nvSpPr>
          <xdr:cNvPr id="3" name="Oval 2">
            <a:extLst>
              <a:ext uri="{FF2B5EF4-FFF2-40B4-BE49-F238E27FC236}">
                <a16:creationId xmlns:a16="http://schemas.microsoft.com/office/drawing/2014/main" id="{E1505BDB-DA34-8863-0AEA-30628AFE53DE}"/>
              </a:ext>
            </a:extLst>
          </xdr:cNvPr>
          <xdr:cNvSpPr/>
        </xdr:nvSpPr>
        <xdr:spPr>
          <a:xfrm>
            <a:off x="2235199" y="6389777"/>
            <a:ext cx="609596" cy="502086"/>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C</a:t>
            </a:r>
          </a:p>
        </xdr:txBody>
      </xdr:sp>
      <xdr:grpSp>
        <xdr:nvGrpSpPr>
          <xdr:cNvPr id="2" name="Group 1">
            <a:extLst>
              <a:ext uri="{FF2B5EF4-FFF2-40B4-BE49-F238E27FC236}">
                <a16:creationId xmlns:a16="http://schemas.microsoft.com/office/drawing/2014/main" id="{D12184BB-2583-D7B5-5195-F2C464CCF41A}"/>
              </a:ext>
            </a:extLst>
          </xdr:cNvPr>
          <xdr:cNvGrpSpPr/>
        </xdr:nvGrpSpPr>
        <xdr:grpSpPr>
          <a:xfrm>
            <a:off x="2709333" y="5562735"/>
            <a:ext cx="7332134" cy="2099462"/>
            <a:chOff x="2699669" y="5562735"/>
            <a:chExt cx="8033750" cy="2099462"/>
          </a:xfrm>
        </xdr:grpSpPr>
        <xdr:sp macro="" textlink="">
          <xdr:nvSpPr>
            <xdr:cNvPr id="7" name="Freeform 6">
              <a:extLst>
                <a:ext uri="{FF2B5EF4-FFF2-40B4-BE49-F238E27FC236}">
                  <a16:creationId xmlns:a16="http://schemas.microsoft.com/office/drawing/2014/main" id="{DE799899-FF09-4DE4-664F-6A754C72D5C1}"/>
                </a:ext>
              </a:extLst>
            </xdr:cNvPr>
            <xdr:cNvSpPr/>
          </xdr:nvSpPr>
          <xdr:spPr>
            <a:xfrm rot="20436911" flipV="1">
              <a:off x="2699669" y="6289989"/>
              <a:ext cx="1116553" cy="48992"/>
            </a:xfrm>
            <a:custGeom>
              <a:avLst/>
              <a:gdLst>
                <a:gd name="csX0" fmla="*/ 0 w 781533"/>
                <a:gd name="csY0" fmla="*/ 18303 h 36606"/>
                <a:gd name="csX1" fmla="*/ 781533 w 781533"/>
                <a:gd name="csY1" fmla="*/ 18303 h 36606"/>
              </a:gdLst>
              <a:ahLst/>
              <a:cxnLst>
                <a:cxn ang="0">
                  <a:pos x="csX0" y="csY0"/>
                </a:cxn>
                <a:cxn ang="0">
                  <a:pos x="csX1" y="csY1"/>
                </a:cxn>
              </a:cxnLst>
              <a:rect l="l" t="t" r="r" b="b"/>
              <a:pathLst>
                <a:path w="781533" h="36606">
                  <a:moveTo>
                    <a:pt x="0" y="18303"/>
                  </a:moveTo>
                  <a:lnTo>
                    <a:pt x="781533" y="18303"/>
                  </a:lnTo>
                </a:path>
              </a:pathLst>
            </a:custGeom>
            <a:noFill/>
          </xdr:spPr>
          <xdr:style>
            <a:lnRef idx="2">
              <a:schemeClr val="accent3">
                <a:hueOff val="0"/>
                <a:satOff val="0"/>
                <a:lumOff val="0"/>
                <a:alphaOff val="0"/>
              </a:schemeClr>
            </a:lnRef>
            <a:fillRef idx="0">
              <a:scrgbClr r="0" g="0" b="0"/>
            </a:fillRef>
            <a:effectRef idx="0">
              <a:schemeClr val="accent2">
                <a:tint val="90000"/>
                <a:hueOff val="0"/>
                <a:satOff val="0"/>
                <a:lumOff val="0"/>
                <a:alphaOff val="0"/>
              </a:schemeClr>
            </a:effectRef>
            <a:fontRef idx="minor">
              <a:schemeClr val="tx1">
                <a:hueOff val="0"/>
                <a:satOff val="0"/>
                <a:lumOff val="0"/>
                <a:alphaOff val="0"/>
              </a:schemeClr>
            </a:fontRef>
          </xdr:style>
          <xdr:txBody>
            <a:bodyPr spcFirstLastPara="0" vert="horz" wrap="square" lIns="383927" tIns="-1236" rIns="383929" bIns="-1235"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H$21">
          <xdr:nvSpPr>
            <xdr:cNvPr id="8" name="Freeform 7">
              <a:extLst>
                <a:ext uri="{FF2B5EF4-FFF2-40B4-BE49-F238E27FC236}">
                  <a16:creationId xmlns:a16="http://schemas.microsoft.com/office/drawing/2014/main" id="{4A9DECE7-8651-B56A-5888-85351789FA5E}"/>
                </a:ext>
              </a:extLst>
            </xdr:cNvPr>
            <xdr:cNvSpPr/>
          </xdr:nvSpPr>
          <xdr:spPr>
            <a:xfrm>
              <a:off x="3840909" y="5834014"/>
              <a:ext cx="2723711"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rgbClr val="83F199"/>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3">
                <a:hueOff val="0"/>
                <a:satOff val="0"/>
                <a:lumOff val="0"/>
                <a:alphaOff val="0"/>
              </a:schemeClr>
            </a:fillRef>
            <a:effectRef idx="1">
              <a:schemeClr val="accent3">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AAF42634-5535-5644-B3A5-80D2F913A178}"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C ) =0.556</a:t>
              </a:fld>
              <a:endParaRPr lang="en-US" sz="1600" kern="1200"/>
            </a:p>
          </xdr:txBody>
        </xdr:sp>
        <xdr:sp macro="" textlink="$J$21">
          <xdr:nvSpPr>
            <xdr:cNvPr id="10" name="Freeform 9">
              <a:extLst>
                <a:ext uri="{FF2B5EF4-FFF2-40B4-BE49-F238E27FC236}">
                  <a16:creationId xmlns:a16="http://schemas.microsoft.com/office/drawing/2014/main" id="{158D1425-7B99-3DE7-AE73-BBF47C38B8E8}"/>
                </a:ext>
              </a:extLst>
            </xdr:cNvPr>
            <xdr:cNvSpPr/>
          </xdr:nvSpPr>
          <xdr:spPr>
            <a:xfrm>
              <a:off x="7654108" y="5562735"/>
              <a:ext cx="3079311"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chemeClr val="accent1">
                <a:lumMod val="40000"/>
                <a:lumOff val="60000"/>
              </a:schemeClr>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4">
                <a:hueOff val="0"/>
                <a:satOff val="0"/>
                <a:lumOff val="0"/>
                <a:alphaOff val="0"/>
              </a:schemeClr>
            </a:fillRef>
            <a:effectRef idx="1">
              <a:schemeClr val="accent4">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7A105B41-1A0F-864C-846E-9CF47331FCE1}"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T| C )= 0.583</a:t>
              </a:fld>
              <a:endParaRPr lang="en-US" sz="1600" kern="1200"/>
            </a:p>
          </xdr:txBody>
        </xdr:sp>
        <xdr:sp macro="" textlink="$J$22">
          <xdr:nvSpPr>
            <xdr:cNvPr id="12" name="Freeform 11">
              <a:extLst>
                <a:ext uri="{FF2B5EF4-FFF2-40B4-BE49-F238E27FC236}">
                  <a16:creationId xmlns:a16="http://schemas.microsoft.com/office/drawing/2014/main" id="{D0EA2A27-085A-03C7-6A4C-9A03BF5914AA}"/>
                </a:ext>
              </a:extLst>
            </xdr:cNvPr>
            <xdr:cNvSpPr/>
          </xdr:nvSpPr>
          <xdr:spPr>
            <a:xfrm>
              <a:off x="7654108" y="6105292"/>
              <a:ext cx="3079311"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chemeClr val="accent1">
                <a:lumMod val="40000"/>
                <a:lumOff val="60000"/>
              </a:schemeClr>
            </a:solidFill>
          </xdr:spPr>
          <xdr:style>
            <a:lnRef idx="2">
              <a:schemeClr val="accent2">
                <a:shade val="15000"/>
              </a:schemeClr>
            </a:lnRef>
            <a:fillRef idx="1">
              <a:schemeClr val="accent2"/>
            </a:fillRef>
            <a:effectRef idx="0">
              <a:schemeClr val="accent2"/>
            </a:effectRef>
            <a:fontRef idx="minor">
              <a:schemeClr val="lt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E96B7D68-11C1-1D47-8027-7B0F8AB40D6D}"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T' | C )=  0.417</a:t>
              </a:fld>
              <a:endParaRPr lang="en-US" sz="1600" kern="1200"/>
            </a:p>
          </xdr:txBody>
        </xdr:sp>
        <xdr:sp macro="" textlink="">
          <xdr:nvSpPr>
            <xdr:cNvPr id="13" name="Freeform 12">
              <a:extLst>
                <a:ext uri="{FF2B5EF4-FFF2-40B4-BE49-F238E27FC236}">
                  <a16:creationId xmlns:a16="http://schemas.microsoft.com/office/drawing/2014/main" id="{F75D94B4-06EF-8A0C-6655-FFB8B87B49B9}"/>
                </a:ext>
              </a:extLst>
            </xdr:cNvPr>
            <xdr:cNvSpPr/>
          </xdr:nvSpPr>
          <xdr:spPr>
            <a:xfrm rot="1235483" flipV="1">
              <a:off x="2718656" y="6759258"/>
              <a:ext cx="1111165" cy="396683"/>
            </a:xfrm>
            <a:custGeom>
              <a:avLst/>
              <a:gdLst>
                <a:gd name="csX0" fmla="*/ 0 w 781533"/>
                <a:gd name="csY0" fmla="*/ 18303 h 36606"/>
                <a:gd name="csX1" fmla="*/ 781533 w 781533"/>
                <a:gd name="csY1" fmla="*/ 18303 h 36606"/>
              </a:gdLst>
              <a:ahLst/>
              <a:cxnLst>
                <a:cxn ang="0">
                  <a:pos x="csX0" y="csY0"/>
                </a:cxn>
                <a:cxn ang="0">
                  <a:pos x="csX1" y="csY1"/>
                </a:cxn>
              </a:cxnLst>
              <a:rect l="l" t="t" r="r" b="b"/>
              <a:pathLst>
                <a:path w="781533" h="36606">
                  <a:moveTo>
                    <a:pt x="0" y="18303"/>
                  </a:moveTo>
                  <a:lnTo>
                    <a:pt x="781533" y="18303"/>
                  </a:lnTo>
                </a:path>
              </a:pathLst>
            </a:custGeom>
            <a:noFill/>
          </xdr:spPr>
          <xdr:style>
            <a:lnRef idx="2">
              <a:schemeClr val="accent3">
                <a:hueOff val="0"/>
                <a:satOff val="0"/>
                <a:lumOff val="0"/>
                <a:alphaOff val="0"/>
              </a:schemeClr>
            </a:lnRef>
            <a:fillRef idx="0">
              <a:scrgbClr r="0" g="0" b="0"/>
            </a:fillRef>
            <a:effectRef idx="0">
              <a:schemeClr val="accent2">
                <a:tint val="90000"/>
                <a:hueOff val="0"/>
                <a:satOff val="0"/>
                <a:lumOff val="0"/>
                <a:alphaOff val="0"/>
              </a:schemeClr>
            </a:effectRef>
            <a:fontRef idx="minor">
              <a:schemeClr val="tx1">
                <a:hueOff val="0"/>
                <a:satOff val="0"/>
                <a:lumOff val="0"/>
                <a:alphaOff val="0"/>
              </a:schemeClr>
            </a:fontRef>
          </xdr:style>
          <xdr:txBody>
            <a:bodyPr spcFirstLastPara="0" vert="horz" wrap="square" lIns="383927" tIns="-1236" rIns="383929" bIns="-1235"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H$22">
          <xdr:nvSpPr>
            <xdr:cNvPr id="14" name="Freeform 13">
              <a:extLst>
                <a:ext uri="{FF2B5EF4-FFF2-40B4-BE49-F238E27FC236}">
                  <a16:creationId xmlns:a16="http://schemas.microsoft.com/office/drawing/2014/main" id="{F7B92E82-7F05-A426-6BE2-085CEBB8618A}"/>
                </a:ext>
              </a:extLst>
            </xdr:cNvPr>
            <xdr:cNvSpPr/>
          </xdr:nvSpPr>
          <xdr:spPr>
            <a:xfrm>
              <a:off x="3840909" y="6919129"/>
              <a:ext cx="2723711"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rgbClr val="83F199"/>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3">
                <a:hueOff val="0"/>
                <a:satOff val="0"/>
                <a:lumOff val="0"/>
                <a:alphaOff val="0"/>
              </a:schemeClr>
            </a:fillRef>
            <a:effectRef idx="1">
              <a:schemeClr val="accent3">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05A21FFF-F1FB-244A-A999-ED46BAC3031B}"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C' )= 0.444</a:t>
              </a:fld>
              <a:endParaRPr lang="en-US" sz="1600" kern="1200"/>
            </a:p>
          </xdr:txBody>
        </xdr:sp>
        <xdr:sp macro="" textlink="$J$23">
          <xdr:nvSpPr>
            <xdr:cNvPr id="16" name="Freeform 15">
              <a:extLst>
                <a:ext uri="{FF2B5EF4-FFF2-40B4-BE49-F238E27FC236}">
                  <a16:creationId xmlns:a16="http://schemas.microsoft.com/office/drawing/2014/main" id="{2B8A41C5-01B1-D363-6DFE-A4288B52D6A3}"/>
                </a:ext>
              </a:extLst>
            </xdr:cNvPr>
            <xdr:cNvSpPr/>
          </xdr:nvSpPr>
          <xdr:spPr>
            <a:xfrm>
              <a:off x="7654108" y="6647851"/>
              <a:ext cx="3079311"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chemeClr val="accent1">
                <a:lumMod val="40000"/>
                <a:lumOff val="60000"/>
              </a:schemeClr>
            </a:solidFill>
            <a:scene3d>
              <a:camera prst="orthographicFront"/>
              <a:lightRig rig="flat" dir="t"/>
            </a:scene3d>
            <a:sp3d prstMaterial="dkEdge">
              <a:bevelT w="8200" h="38100"/>
            </a:sp3d>
          </xdr:spPr>
          <xdr:style>
            <a:lnRef idx="0">
              <a:schemeClr val="lt1">
                <a:hueOff val="0"/>
                <a:satOff val="0"/>
                <a:lumOff val="0"/>
                <a:alphaOff val="0"/>
              </a:schemeClr>
            </a:lnRef>
            <a:fillRef idx="2">
              <a:scrgbClr r="0" g="0" b="0"/>
            </a:fillRef>
            <a:effectRef idx="1">
              <a:schemeClr val="accent4">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724FE5CE-745B-A648-B5AE-FA78B8E8FA43}"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T | C' ) = 0.154</a:t>
              </a:fld>
              <a:endParaRPr lang="en-US" sz="1600" kern="1200"/>
            </a:p>
          </xdr:txBody>
        </xdr:sp>
        <xdr:sp macro="" textlink="$J$24">
          <xdr:nvSpPr>
            <xdr:cNvPr id="18" name="Freeform 17">
              <a:extLst>
                <a:ext uri="{FF2B5EF4-FFF2-40B4-BE49-F238E27FC236}">
                  <a16:creationId xmlns:a16="http://schemas.microsoft.com/office/drawing/2014/main" id="{1EEE7039-2D17-AC26-702E-D71C7669D630}"/>
                </a:ext>
              </a:extLst>
            </xdr:cNvPr>
            <xdr:cNvSpPr/>
          </xdr:nvSpPr>
          <xdr:spPr>
            <a:xfrm>
              <a:off x="7654108" y="7190408"/>
              <a:ext cx="3079311" cy="471789"/>
            </a:xfrm>
            <a:custGeom>
              <a:avLst/>
              <a:gdLst>
                <a:gd name="csX0" fmla="*/ 0 w 1115764"/>
                <a:gd name="csY0" fmla="*/ 55788 h 557882"/>
                <a:gd name="csX1" fmla="*/ 55788 w 1115764"/>
                <a:gd name="csY1" fmla="*/ 0 h 557882"/>
                <a:gd name="csX2" fmla="*/ 1059976 w 1115764"/>
                <a:gd name="csY2" fmla="*/ 0 h 557882"/>
                <a:gd name="csX3" fmla="*/ 1115764 w 1115764"/>
                <a:gd name="csY3" fmla="*/ 55788 h 557882"/>
                <a:gd name="csX4" fmla="*/ 1115764 w 1115764"/>
                <a:gd name="csY4" fmla="*/ 502094 h 557882"/>
                <a:gd name="csX5" fmla="*/ 1059976 w 1115764"/>
                <a:gd name="csY5" fmla="*/ 557882 h 557882"/>
                <a:gd name="csX6" fmla="*/ 55788 w 1115764"/>
                <a:gd name="csY6" fmla="*/ 557882 h 557882"/>
                <a:gd name="csX7" fmla="*/ 0 w 1115764"/>
                <a:gd name="csY7" fmla="*/ 502094 h 557882"/>
                <a:gd name="csX8" fmla="*/ 0 w 1115764"/>
                <a:gd name="csY8" fmla="*/ 55788 h 5578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15764" h="557882">
                  <a:moveTo>
                    <a:pt x="0" y="55788"/>
                  </a:moveTo>
                  <a:cubicBezTo>
                    <a:pt x="0" y="24977"/>
                    <a:pt x="24977" y="0"/>
                    <a:pt x="55788" y="0"/>
                  </a:cubicBezTo>
                  <a:lnTo>
                    <a:pt x="1059976" y="0"/>
                  </a:lnTo>
                  <a:cubicBezTo>
                    <a:pt x="1090787" y="0"/>
                    <a:pt x="1115764" y="24977"/>
                    <a:pt x="1115764" y="55788"/>
                  </a:cubicBezTo>
                  <a:lnTo>
                    <a:pt x="1115764" y="502094"/>
                  </a:lnTo>
                  <a:cubicBezTo>
                    <a:pt x="1115764" y="532905"/>
                    <a:pt x="1090787" y="557882"/>
                    <a:pt x="1059976" y="557882"/>
                  </a:cubicBezTo>
                  <a:lnTo>
                    <a:pt x="55788" y="557882"/>
                  </a:lnTo>
                  <a:cubicBezTo>
                    <a:pt x="24977" y="557882"/>
                    <a:pt x="0" y="532905"/>
                    <a:pt x="0" y="502094"/>
                  </a:cubicBezTo>
                  <a:lnTo>
                    <a:pt x="0" y="55788"/>
                  </a:lnTo>
                  <a:close/>
                </a:path>
              </a:pathLst>
            </a:custGeom>
            <a:solidFill>
              <a:schemeClr val="accent1">
                <a:lumMod val="40000"/>
                <a:lumOff val="60000"/>
              </a:schemeClr>
            </a:solidFill>
            <a:scene3d>
              <a:camera prst="orthographicFront"/>
              <a:lightRig rig="flat" dir="t"/>
            </a:scene3d>
            <a:sp3d prstMaterial="dkEdge">
              <a:bevelT w="8200" h="38100"/>
            </a:sp3d>
          </xdr:spPr>
          <xdr:style>
            <a:lnRef idx="0">
              <a:schemeClr val="lt1">
                <a:hueOff val="0"/>
                <a:satOff val="0"/>
                <a:lumOff val="0"/>
                <a:alphaOff val="0"/>
              </a:schemeClr>
            </a:lnRef>
            <a:fillRef idx="2">
              <a:schemeClr val="accent4">
                <a:hueOff val="0"/>
                <a:satOff val="0"/>
                <a:lumOff val="0"/>
                <a:alphaOff val="0"/>
              </a:schemeClr>
            </a:fillRef>
            <a:effectRef idx="1">
              <a:schemeClr val="accent4">
                <a:hueOff val="0"/>
                <a:satOff val="0"/>
                <a:lumOff val="0"/>
                <a:alphaOff val="0"/>
              </a:schemeClr>
            </a:effectRef>
            <a:fontRef idx="minor">
              <a:schemeClr val="dk1"/>
            </a:fontRef>
          </xdr:style>
          <xdr:txBody>
            <a:bodyPr spcFirstLastPara="0" vert="horz" wrap="square" lIns="37930" tIns="37930" rIns="37930" bIns="37930" numCol="1" spcCol="1270" anchor="ctr" anchorCtr="0">
              <a:noAutofit/>
            </a:bodyPr>
            <a:lstStyle/>
            <a:p>
              <a:pPr marL="0" lvl="0" indent="0" algn="ctr" defTabSz="1511300">
                <a:lnSpc>
                  <a:spcPct val="90000"/>
                </a:lnSpc>
                <a:spcBef>
                  <a:spcPct val="0"/>
                </a:spcBef>
                <a:spcAft>
                  <a:spcPct val="35000"/>
                </a:spcAft>
                <a:buNone/>
              </a:pPr>
              <a:fld id="{061F0826-C72B-2C4F-A8B1-D1A6F4776634}" type="TxLink">
                <a:rPr lang="en-US" sz="1600" b="0" i="0" u="none" strike="noStrike" kern="1200">
                  <a:solidFill>
                    <a:srgbClr val="000000"/>
                  </a:solidFill>
                  <a:latin typeface="Aptos Narrow"/>
                </a:rPr>
                <a:pPr marL="0" lvl="0" indent="0" algn="ctr" defTabSz="1511300">
                  <a:lnSpc>
                    <a:spcPct val="90000"/>
                  </a:lnSpc>
                  <a:spcBef>
                    <a:spcPct val="0"/>
                  </a:spcBef>
                  <a:spcAft>
                    <a:spcPct val="35000"/>
                  </a:spcAft>
                  <a:buNone/>
                </a:pPr>
                <a:t>P( T' | C' ) = 0.846</a:t>
              </a:fld>
              <a:endParaRPr lang="en-US" sz="1600" kern="1200"/>
            </a:p>
          </xdr:txBody>
        </xdr:sp>
        <xdr:sp macro="" textlink="">
          <xdr:nvSpPr>
            <xdr:cNvPr id="36" name="Freeform 35">
              <a:extLst>
                <a:ext uri="{FF2B5EF4-FFF2-40B4-BE49-F238E27FC236}">
                  <a16:creationId xmlns:a16="http://schemas.microsoft.com/office/drawing/2014/main" id="{4078D945-5A88-2446-8B8D-A9B950EBB922}"/>
                </a:ext>
              </a:extLst>
            </xdr:cNvPr>
            <xdr:cNvSpPr/>
          </xdr:nvSpPr>
          <xdr:spPr>
            <a:xfrm rot="20566984">
              <a:off x="6553200" y="5884334"/>
              <a:ext cx="1125325" cy="59294"/>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3" tIns="4562" rIns="273772" bIns="4562"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
          <xdr:nvSpPr>
            <xdr:cNvPr id="37" name="Freeform 36">
              <a:extLst>
                <a:ext uri="{FF2B5EF4-FFF2-40B4-BE49-F238E27FC236}">
                  <a16:creationId xmlns:a16="http://schemas.microsoft.com/office/drawing/2014/main" id="{3B2A73F0-EB75-EC48-ADD4-E34E378F443F}"/>
                </a:ext>
              </a:extLst>
            </xdr:cNvPr>
            <xdr:cNvSpPr/>
          </xdr:nvSpPr>
          <xdr:spPr>
            <a:xfrm rot="866324" flipV="1">
              <a:off x="6561509" y="6107034"/>
              <a:ext cx="1204879" cy="296006"/>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2" tIns="4561" rIns="273773" bIns="4563"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
          <xdr:nvSpPr>
            <xdr:cNvPr id="38" name="Freeform 37">
              <a:extLst>
                <a:ext uri="{FF2B5EF4-FFF2-40B4-BE49-F238E27FC236}">
                  <a16:creationId xmlns:a16="http://schemas.microsoft.com/office/drawing/2014/main" id="{212E9605-9459-AD44-B074-8C5662AF95CD}"/>
                </a:ext>
              </a:extLst>
            </xdr:cNvPr>
            <xdr:cNvSpPr/>
          </xdr:nvSpPr>
          <xdr:spPr>
            <a:xfrm rot="20566984">
              <a:off x="6536266" y="6925734"/>
              <a:ext cx="1125325" cy="59294"/>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3" tIns="4562" rIns="273772" bIns="4562"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sp macro="" textlink="">
          <xdr:nvSpPr>
            <xdr:cNvPr id="39" name="Freeform 38">
              <a:extLst>
                <a:ext uri="{FF2B5EF4-FFF2-40B4-BE49-F238E27FC236}">
                  <a16:creationId xmlns:a16="http://schemas.microsoft.com/office/drawing/2014/main" id="{9D1710D9-CD68-B94F-9948-B6A7867B8FAF}"/>
                </a:ext>
              </a:extLst>
            </xdr:cNvPr>
            <xdr:cNvSpPr/>
          </xdr:nvSpPr>
          <xdr:spPr>
            <a:xfrm rot="866324" flipV="1">
              <a:off x="6544575" y="7148434"/>
              <a:ext cx="1204879" cy="296006"/>
            </a:xfrm>
            <a:custGeom>
              <a:avLst/>
              <a:gdLst>
                <a:gd name="csX0" fmla="*/ 0 w 549627"/>
                <a:gd name="csY0" fmla="*/ 18303 h 36606"/>
                <a:gd name="csX1" fmla="*/ 549627 w 549627"/>
                <a:gd name="csY1" fmla="*/ 18303 h 36606"/>
              </a:gdLst>
              <a:ahLst/>
              <a:cxnLst>
                <a:cxn ang="0">
                  <a:pos x="csX0" y="csY0"/>
                </a:cxn>
                <a:cxn ang="0">
                  <a:pos x="csX1" y="csY1"/>
                </a:cxn>
              </a:cxnLst>
              <a:rect l="l" t="t" r="r" b="b"/>
              <a:pathLst>
                <a:path w="549627" h="36606">
                  <a:moveTo>
                    <a:pt x="0" y="18303"/>
                  </a:moveTo>
                  <a:lnTo>
                    <a:pt x="549627" y="18303"/>
                  </a:lnTo>
                </a:path>
              </a:pathLst>
            </a:custGeom>
            <a:noFill/>
          </xdr:spPr>
          <xdr:style>
            <a:lnRef idx="2">
              <a:schemeClr val="accent4">
                <a:hueOff val="0"/>
                <a:satOff val="0"/>
                <a:lumOff val="0"/>
                <a:alphaOff val="0"/>
              </a:schemeClr>
            </a:lnRef>
            <a:fillRef idx="0">
              <a:scrgbClr r="0" g="0" b="0"/>
            </a:fillRef>
            <a:effectRef idx="0">
              <a:schemeClr val="accent2">
                <a:tint val="70000"/>
                <a:hueOff val="0"/>
                <a:satOff val="0"/>
                <a:lumOff val="0"/>
                <a:alphaOff val="0"/>
              </a:schemeClr>
            </a:effectRef>
            <a:fontRef idx="minor">
              <a:schemeClr val="tx1">
                <a:hueOff val="0"/>
                <a:satOff val="0"/>
                <a:lumOff val="0"/>
                <a:alphaOff val="0"/>
              </a:schemeClr>
            </a:fontRef>
          </xdr:style>
          <xdr:txBody>
            <a:bodyPr spcFirstLastPara="0" vert="horz" wrap="square" lIns="273772" tIns="4561" rIns="273773" bIns="4563" numCol="1" spcCol="1270" anchor="ctr" anchorCtr="0">
              <a:noAutofit/>
            </a:bodyPr>
            <a:lstStyle/>
            <a:p>
              <a:pPr marL="0" lvl="0" indent="0" algn="ctr" defTabSz="222250">
                <a:lnSpc>
                  <a:spcPct val="90000"/>
                </a:lnSpc>
                <a:spcBef>
                  <a:spcPct val="0"/>
                </a:spcBef>
                <a:spcAft>
                  <a:spcPct val="35000"/>
                </a:spcAft>
                <a:buNone/>
              </a:pPr>
              <a:endParaRPr lang="en-US" sz="500" kern="1200"/>
            </a:p>
          </xdr:txBody>
        </xdr:sp>
      </xdr:grpSp>
    </xdr:grpSp>
    <xdr:clientData/>
  </xdr:twoCellAnchor>
  <xdr:twoCellAnchor>
    <xdr:from>
      <xdr:col>6</xdr:col>
      <xdr:colOff>672847</xdr:colOff>
      <xdr:row>7</xdr:row>
      <xdr:rowOff>67284</xdr:rowOff>
    </xdr:from>
    <xdr:to>
      <xdr:col>8</xdr:col>
      <xdr:colOff>159800</xdr:colOff>
      <xdr:row>9</xdr:row>
      <xdr:rowOff>84106</xdr:rowOff>
    </xdr:to>
    <xdr:sp macro="" textlink="">
      <xdr:nvSpPr>
        <xdr:cNvPr id="6" name="Oval 5">
          <a:extLst>
            <a:ext uri="{FF2B5EF4-FFF2-40B4-BE49-F238E27FC236}">
              <a16:creationId xmlns:a16="http://schemas.microsoft.com/office/drawing/2014/main" id="{1D02F72A-228D-91A9-0CEF-E4EDBE6772F3}"/>
            </a:ext>
          </a:extLst>
        </xdr:cNvPr>
        <xdr:cNvSpPr/>
      </xdr:nvSpPr>
      <xdr:spPr>
        <a:xfrm>
          <a:off x="4979072" y="2111059"/>
          <a:ext cx="1135430" cy="420530"/>
        </a:xfrm>
        <a:prstGeom prst="ellipse">
          <a:avLst/>
        </a:prstGeom>
        <a:solidFill>
          <a:srgbClr val="83F199"/>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Condition</a:t>
          </a:r>
        </a:p>
      </xdr:txBody>
    </xdr:sp>
    <xdr:clientData/>
  </xdr:twoCellAnchor>
  <xdr:twoCellAnchor>
    <xdr:from>
      <xdr:col>9</xdr:col>
      <xdr:colOff>538279</xdr:colOff>
      <xdr:row>7</xdr:row>
      <xdr:rowOff>58875</xdr:rowOff>
    </xdr:from>
    <xdr:to>
      <xdr:col>10</xdr:col>
      <xdr:colOff>622384</xdr:colOff>
      <xdr:row>9</xdr:row>
      <xdr:rowOff>75696</xdr:rowOff>
    </xdr:to>
    <xdr:sp macro="" textlink="">
      <xdr:nvSpPr>
        <xdr:cNvPr id="11" name="Oval 10">
          <a:extLst>
            <a:ext uri="{FF2B5EF4-FFF2-40B4-BE49-F238E27FC236}">
              <a16:creationId xmlns:a16="http://schemas.microsoft.com/office/drawing/2014/main" id="{6910BCF6-227C-4433-5EDE-FD4E5F285A39}"/>
            </a:ext>
          </a:extLst>
        </xdr:cNvPr>
        <xdr:cNvSpPr/>
      </xdr:nvSpPr>
      <xdr:spPr>
        <a:xfrm>
          <a:off x="7317219" y="2102650"/>
          <a:ext cx="908344" cy="420529"/>
        </a:xfrm>
        <a:prstGeom prst="ellipse">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Test</a:t>
          </a:r>
        </a:p>
        <a:p>
          <a:pPr algn="l"/>
          <a:endParaRPr lang="en-US" sz="1100"/>
        </a:p>
      </xdr:txBody>
    </xdr:sp>
    <xdr:clientData/>
  </xdr:twoCellAnchor>
  <xdr:twoCellAnchor>
    <xdr:from>
      <xdr:col>8</xdr:col>
      <xdr:colOff>159800</xdr:colOff>
      <xdr:row>8</xdr:row>
      <xdr:rowOff>67286</xdr:rowOff>
    </xdr:from>
    <xdr:to>
      <xdr:col>9</xdr:col>
      <xdr:colOff>538279</xdr:colOff>
      <xdr:row>8</xdr:row>
      <xdr:rowOff>75695</xdr:rowOff>
    </xdr:to>
    <xdr:cxnSp macro="">
      <xdr:nvCxnSpPr>
        <xdr:cNvPr id="17" name="Straight Arrow Connector 16">
          <a:extLst>
            <a:ext uri="{FF2B5EF4-FFF2-40B4-BE49-F238E27FC236}">
              <a16:creationId xmlns:a16="http://schemas.microsoft.com/office/drawing/2014/main" id="{83405759-B679-2A60-2643-870E83AA164A}"/>
            </a:ext>
          </a:extLst>
        </xdr:cNvPr>
        <xdr:cNvCxnSpPr>
          <a:stCxn id="6" idx="6"/>
          <a:endCxn id="11" idx="2"/>
        </xdr:cNvCxnSpPr>
      </xdr:nvCxnSpPr>
      <xdr:spPr>
        <a:xfrm flipV="1">
          <a:off x="6114502" y="2312915"/>
          <a:ext cx="1202717" cy="8409"/>
        </a:xfrm>
        <a:prstGeom prst="straightConnector1">
          <a:avLst/>
        </a:prstGeom>
        <a:ln w="31750">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584591</xdr:colOff>
      <xdr:row>29</xdr:row>
      <xdr:rowOff>155283</xdr:rowOff>
    </xdr:from>
    <xdr:to>
      <xdr:col>20</xdr:col>
      <xdr:colOff>273905</xdr:colOff>
      <xdr:row>32</xdr:row>
      <xdr:rowOff>100911</xdr:rowOff>
    </xdr:to>
    <xdr:sp macro="" textlink="">
      <xdr:nvSpPr>
        <xdr:cNvPr id="31" name="Oval 30">
          <a:extLst>
            <a:ext uri="{FF2B5EF4-FFF2-40B4-BE49-F238E27FC236}">
              <a16:creationId xmlns:a16="http://schemas.microsoft.com/office/drawing/2014/main" id="{9F080C1A-1283-4541-86BB-FC3AEB4557E4}"/>
            </a:ext>
          </a:extLst>
        </xdr:cNvPr>
        <xdr:cNvSpPr/>
      </xdr:nvSpPr>
      <xdr:spPr>
        <a:xfrm>
          <a:off x="15521810" y="6252965"/>
          <a:ext cx="513552" cy="551191"/>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C</a:t>
          </a:r>
        </a:p>
      </xdr:txBody>
    </xdr:sp>
    <xdr:clientData/>
  </xdr:twoCellAnchor>
  <xdr:twoCellAnchor>
    <xdr:from>
      <xdr:col>19</xdr:col>
      <xdr:colOff>602422</xdr:colOff>
      <xdr:row>35</xdr:row>
      <xdr:rowOff>4901</xdr:rowOff>
    </xdr:from>
    <xdr:to>
      <xdr:col>20</xdr:col>
      <xdr:colOff>291736</xdr:colOff>
      <xdr:row>37</xdr:row>
      <xdr:rowOff>152383</xdr:rowOff>
    </xdr:to>
    <xdr:sp macro="" textlink="">
      <xdr:nvSpPr>
        <xdr:cNvPr id="40" name="Oval 39">
          <a:extLst>
            <a:ext uri="{FF2B5EF4-FFF2-40B4-BE49-F238E27FC236}">
              <a16:creationId xmlns:a16="http://schemas.microsoft.com/office/drawing/2014/main" id="{67C4378B-2D42-6642-9A9B-CE2C011D6178}"/>
            </a:ext>
          </a:extLst>
        </xdr:cNvPr>
        <xdr:cNvSpPr/>
      </xdr:nvSpPr>
      <xdr:spPr>
        <a:xfrm>
          <a:off x="15539641" y="7313709"/>
          <a:ext cx="513552" cy="551191"/>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C</a:t>
          </a:r>
        </a:p>
      </xdr:txBody>
    </xdr:sp>
    <xdr:clientData/>
  </xdr:twoCellAnchor>
  <xdr:twoCellAnchor>
    <xdr:from>
      <xdr:col>10</xdr:col>
      <xdr:colOff>130419</xdr:colOff>
      <xdr:row>29</xdr:row>
      <xdr:rowOff>121641</xdr:rowOff>
    </xdr:from>
    <xdr:to>
      <xdr:col>10</xdr:col>
      <xdr:colOff>670936</xdr:colOff>
      <xdr:row>32</xdr:row>
      <xdr:rowOff>87752</xdr:rowOff>
    </xdr:to>
    <xdr:sp macro="" textlink="">
      <xdr:nvSpPr>
        <xdr:cNvPr id="41" name="Oval 40">
          <a:extLst>
            <a:ext uri="{FF2B5EF4-FFF2-40B4-BE49-F238E27FC236}">
              <a16:creationId xmlns:a16="http://schemas.microsoft.com/office/drawing/2014/main" id="{0BC90959-D9FF-844D-8E67-301E1376B947}"/>
            </a:ext>
          </a:extLst>
        </xdr:cNvPr>
        <xdr:cNvSpPr/>
      </xdr:nvSpPr>
      <xdr:spPr>
        <a:xfrm>
          <a:off x="7733598" y="6219323"/>
          <a:ext cx="540517" cy="571674"/>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T</a:t>
          </a:r>
        </a:p>
      </xdr:txBody>
    </xdr:sp>
    <xdr:clientData/>
  </xdr:twoCellAnchor>
  <xdr:twoCellAnchor>
    <xdr:from>
      <xdr:col>10</xdr:col>
      <xdr:colOff>123018</xdr:colOff>
      <xdr:row>35</xdr:row>
      <xdr:rowOff>89008</xdr:rowOff>
    </xdr:from>
    <xdr:to>
      <xdr:col>10</xdr:col>
      <xdr:colOff>663535</xdr:colOff>
      <xdr:row>38</xdr:row>
      <xdr:rowOff>55119</xdr:rowOff>
    </xdr:to>
    <xdr:sp macro="" textlink="">
      <xdr:nvSpPr>
        <xdr:cNvPr id="42" name="Oval 41">
          <a:extLst>
            <a:ext uri="{FF2B5EF4-FFF2-40B4-BE49-F238E27FC236}">
              <a16:creationId xmlns:a16="http://schemas.microsoft.com/office/drawing/2014/main" id="{13B327A0-5F25-0F48-90E7-93CF40588FA0}"/>
            </a:ext>
          </a:extLst>
        </xdr:cNvPr>
        <xdr:cNvSpPr/>
      </xdr:nvSpPr>
      <xdr:spPr>
        <a:xfrm>
          <a:off x="7726197" y="7397816"/>
          <a:ext cx="540517" cy="571674"/>
        </a:xfrm>
        <a:prstGeom prst="ellipse">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T</a:t>
          </a:r>
        </a:p>
      </xdr:txBody>
    </xdr:sp>
    <xdr:clientData/>
  </xdr:twoCellAnchor>
  <xdr:twoCellAnchor>
    <xdr:from>
      <xdr:col>18</xdr:col>
      <xdr:colOff>681258</xdr:colOff>
      <xdr:row>7</xdr:row>
      <xdr:rowOff>84104</xdr:rowOff>
    </xdr:from>
    <xdr:to>
      <xdr:col>20</xdr:col>
      <xdr:colOff>168211</xdr:colOff>
      <xdr:row>9</xdr:row>
      <xdr:rowOff>100926</xdr:rowOff>
    </xdr:to>
    <xdr:sp macro="" textlink="">
      <xdr:nvSpPr>
        <xdr:cNvPr id="45" name="Oval 44">
          <a:extLst>
            <a:ext uri="{FF2B5EF4-FFF2-40B4-BE49-F238E27FC236}">
              <a16:creationId xmlns:a16="http://schemas.microsoft.com/office/drawing/2014/main" id="{09EF57E8-1E7D-C74D-A3AD-C8AEE6D66FD9}"/>
            </a:ext>
          </a:extLst>
        </xdr:cNvPr>
        <xdr:cNvSpPr/>
      </xdr:nvSpPr>
      <xdr:spPr>
        <a:xfrm>
          <a:off x="14794238" y="2127879"/>
          <a:ext cx="1135430" cy="420530"/>
        </a:xfrm>
        <a:prstGeom prst="ellipse">
          <a:avLst/>
        </a:prstGeom>
        <a:solidFill>
          <a:srgbClr val="83F199"/>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Condition</a:t>
          </a:r>
        </a:p>
      </xdr:txBody>
    </xdr:sp>
    <xdr:clientData/>
  </xdr:twoCellAnchor>
  <xdr:twoCellAnchor>
    <xdr:from>
      <xdr:col>16</xdr:col>
      <xdr:colOff>8413</xdr:colOff>
      <xdr:row>7</xdr:row>
      <xdr:rowOff>92516</xdr:rowOff>
    </xdr:from>
    <xdr:to>
      <xdr:col>17</xdr:col>
      <xdr:colOff>92518</xdr:colOff>
      <xdr:row>9</xdr:row>
      <xdr:rowOff>109337</xdr:rowOff>
    </xdr:to>
    <xdr:sp macro="" textlink="">
      <xdr:nvSpPr>
        <xdr:cNvPr id="46" name="Oval 45">
          <a:extLst>
            <a:ext uri="{FF2B5EF4-FFF2-40B4-BE49-F238E27FC236}">
              <a16:creationId xmlns:a16="http://schemas.microsoft.com/office/drawing/2014/main" id="{6FF82B65-5664-0C4D-A9AA-40423E81561B}"/>
            </a:ext>
          </a:extLst>
        </xdr:cNvPr>
        <xdr:cNvSpPr/>
      </xdr:nvSpPr>
      <xdr:spPr>
        <a:xfrm>
          <a:off x="12178545" y="2136291"/>
          <a:ext cx="908344" cy="420529"/>
        </a:xfrm>
        <a:prstGeom prst="ellipse">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Test</a:t>
          </a:r>
        </a:p>
        <a:p>
          <a:pPr algn="l"/>
          <a:endParaRPr lang="en-US" sz="1100"/>
        </a:p>
      </xdr:txBody>
    </xdr:sp>
    <xdr:clientData/>
  </xdr:twoCellAnchor>
  <xdr:twoCellAnchor>
    <xdr:from>
      <xdr:col>17</xdr:col>
      <xdr:colOff>92518</xdr:colOff>
      <xdr:row>8</xdr:row>
      <xdr:rowOff>92515</xdr:rowOff>
    </xdr:from>
    <xdr:to>
      <xdr:col>18</xdr:col>
      <xdr:colOff>681258</xdr:colOff>
      <xdr:row>8</xdr:row>
      <xdr:rowOff>100927</xdr:rowOff>
    </xdr:to>
    <xdr:cxnSp macro="">
      <xdr:nvCxnSpPr>
        <xdr:cNvPr id="47" name="Straight Arrow Connector 46">
          <a:extLst>
            <a:ext uri="{FF2B5EF4-FFF2-40B4-BE49-F238E27FC236}">
              <a16:creationId xmlns:a16="http://schemas.microsoft.com/office/drawing/2014/main" id="{1731E14E-7722-C14F-B2DD-622FC726CAAE}"/>
            </a:ext>
          </a:extLst>
        </xdr:cNvPr>
        <xdr:cNvCxnSpPr>
          <a:stCxn id="46" idx="6"/>
          <a:endCxn id="45" idx="2"/>
        </xdr:cNvCxnSpPr>
      </xdr:nvCxnSpPr>
      <xdr:spPr>
        <a:xfrm flipV="1">
          <a:off x="13086889" y="2338144"/>
          <a:ext cx="1707349" cy="8412"/>
        </a:xfrm>
        <a:prstGeom prst="straightConnector1">
          <a:avLst/>
        </a:prstGeom>
        <a:ln w="31750">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711201</xdr:colOff>
      <xdr:row>7</xdr:row>
      <xdr:rowOff>186267</xdr:rowOff>
    </xdr:from>
    <xdr:to>
      <xdr:col>8</xdr:col>
      <xdr:colOff>482600</xdr:colOff>
      <xdr:row>10</xdr:row>
      <xdr:rowOff>160867</xdr:rowOff>
    </xdr:to>
    <xdr:sp macro="" textlink="">
      <xdr:nvSpPr>
        <xdr:cNvPr id="2" name="Diamond 1">
          <a:extLst>
            <a:ext uri="{FF2B5EF4-FFF2-40B4-BE49-F238E27FC236}">
              <a16:creationId xmlns:a16="http://schemas.microsoft.com/office/drawing/2014/main" id="{9154E51B-328E-07BE-5727-38440C925549}"/>
            </a:ext>
          </a:extLst>
        </xdr:cNvPr>
        <xdr:cNvSpPr/>
      </xdr:nvSpPr>
      <xdr:spPr>
        <a:xfrm>
          <a:off x="6519334" y="1701800"/>
          <a:ext cx="601133" cy="584200"/>
        </a:xfrm>
        <a:prstGeom prst="diamond">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U</a:t>
          </a:r>
        </a:p>
      </xdr:txBody>
    </xdr:sp>
    <xdr:clientData/>
  </xdr:twoCellAnchor>
  <xdr:twoCellAnchor>
    <xdr:from>
      <xdr:col>6</xdr:col>
      <xdr:colOff>16933</xdr:colOff>
      <xdr:row>5</xdr:row>
      <xdr:rowOff>0</xdr:rowOff>
    </xdr:from>
    <xdr:to>
      <xdr:col>7</xdr:col>
      <xdr:colOff>322630</xdr:colOff>
      <xdr:row>7</xdr:row>
      <xdr:rowOff>14130</xdr:rowOff>
    </xdr:to>
    <xdr:sp macro="" textlink="">
      <xdr:nvSpPr>
        <xdr:cNvPr id="3" name="Oval 2">
          <a:extLst>
            <a:ext uri="{FF2B5EF4-FFF2-40B4-BE49-F238E27FC236}">
              <a16:creationId xmlns:a16="http://schemas.microsoft.com/office/drawing/2014/main" id="{E157E1D3-35D1-D840-8AB3-7542F630D3B6}"/>
            </a:ext>
          </a:extLst>
        </xdr:cNvPr>
        <xdr:cNvSpPr/>
      </xdr:nvSpPr>
      <xdr:spPr>
        <a:xfrm>
          <a:off x="4995333" y="1109133"/>
          <a:ext cx="1135430" cy="420530"/>
        </a:xfrm>
        <a:prstGeom prst="ellipse">
          <a:avLst/>
        </a:prstGeom>
        <a:solidFill>
          <a:srgbClr val="83F199"/>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Condition</a:t>
          </a:r>
        </a:p>
      </xdr:txBody>
    </xdr:sp>
    <xdr:clientData/>
  </xdr:twoCellAnchor>
  <xdr:twoCellAnchor>
    <xdr:from>
      <xdr:col>6</xdr:col>
      <xdr:colOff>93134</xdr:colOff>
      <xdr:row>8</xdr:row>
      <xdr:rowOff>50802</xdr:rowOff>
    </xdr:from>
    <xdr:to>
      <xdr:col>6</xdr:col>
      <xdr:colOff>558801</xdr:colOff>
      <xdr:row>10</xdr:row>
      <xdr:rowOff>84669</xdr:rowOff>
    </xdr:to>
    <xdr:sp macro="" textlink="">
      <xdr:nvSpPr>
        <xdr:cNvPr id="4" name="Rectangle 3">
          <a:extLst>
            <a:ext uri="{FF2B5EF4-FFF2-40B4-BE49-F238E27FC236}">
              <a16:creationId xmlns:a16="http://schemas.microsoft.com/office/drawing/2014/main" id="{DE84C2C3-D6E0-326A-09B3-D26AF0A4A6F8}"/>
            </a:ext>
          </a:extLst>
        </xdr:cNvPr>
        <xdr:cNvSpPr/>
      </xdr:nvSpPr>
      <xdr:spPr>
        <a:xfrm>
          <a:off x="5071534" y="1769535"/>
          <a:ext cx="465667" cy="440267"/>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600"/>
            <a:t>D</a:t>
          </a:r>
        </a:p>
      </xdr:txBody>
    </xdr:sp>
    <xdr:clientData/>
  </xdr:twoCellAnchor>
  <xdr:twoCellAnchor>
    <xdr:from>
      <xdr:col>7</xdr:col>
      <xdr:colOff>322630</xdr:colOff>
      <xdr:row>6</xdr:row>
      <xdr:rowOff>7065</xdr:rowOff>
    </xdr:from>
    <xdr:to>
      <xdr:col>8</xdr:col>
      <xdr:colOff>135466</xdr:colOff>
      <xdr:row>8</xdr:row>
      <xdr:rowOff>0</xdr:rowOff>
    </xdr:to>
    <xdr:cxnSp macro="">
      <xdr:nvCxnSpPr>
        <xdr:cNvPr id="6" name="Curved Connector 5">
          <a:extLst>
            <a:ext uri="{FF2B5EF4-FFF2-40B4-BE49-F238E27FC236}">
              <a16:creationId xmlns:a16="http://schemas.microsoft.com/office/drawing/2014/main" id="{292F7AA2-0A0A-383F-038F-7736ED506071}"/>
            </a:ext>
          </a:extLst>
        </xdr:cNvPr>
        <xdr:cNvCxnSpPr>
          <a:stCxn id="3" idx="6"/>
        </xdr:cNvCxnSpPr>
      </xdr:nvCxnSpPr>
      <xdr:spPr>
        <a:xfrm>
          <a:off x="6130763" y="1319398"/>
          <a:ext cx="642570" cy="399335"/>
        </a:xfrm>
        <a:prstGeom prst="curvedConnector3">
          <a:avLst>
            <a:gd name="adj1" fmla="val 9216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558801</xdr:colOff>
      <xdr:row>9</xdr:row>
      <xdr:rowOff>67736</xdr:rowOff>
    </xdr:from>
    <xdr:to>
      <xdr:col>7</xdr:col>
      <xdr:colOff>711201</xdr:colOff>
      <xdr:row>9</xdr:row>
      <xdr:rowOff>71967</xdr:rowOff>
    </xdr:to>
    <xdr:cxnSp macro="">
      <xdr:nvCxnSpPr>
        <xdr:cNvPr id="12" name="Straight Arrow Connector 11">
          <a:extLst>
            <a:ext uri="{FF2B5EF4-FFF2-40B4-BE49-F238E27FC236}">
              <a16:creationId xmlns:a16="http://schemas.microsoft.com/office/drawing/2014/main" id="{1AEC03F0-C3DD-A2A7-3F39-D22D1FB5BF63}"/>
            </a:ext>
          </a:extLst>
        </xdr:cNvPr>
        <xdr:cNvCxnSpPr>
          <a:stCxn id="4" idx="3"/>
          <a:endCxn id="2" idx="1"/>
        </xdr:cNvCxnSpPr>
      </xdr:nvCxnSpPr>
      <xdr:spPr>
        <a:xfrm>
          <a:off x="5537201" y="1989669"/>
          <a:ext cx="982133" cy="42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338668</xdr:colOff>
      <xdr:row>8</xdr:row>
      <xdr:rowOff>33867</xdr:rowOff>
    </xdr:from>
    <xdr:to>
      <xdr:col>15</xdr:col>
      <xdr:colOff>110067</xdr:colOff>
      <xdr:row>11</xdr:row>
      <xdr:rowOff>8467</xdr:rowOff>
    </xdr:to>
    <xdr:sp macro="" textlink="">
      <xdr:nvSpPr>
        <xdr:cNvPr id="13" name="Diamond 12">
          <a:extLst>
            <a:ext uri="{FF2B5EF4-FFF2-40B4-BE49-F238E27FC236}">
              <a16:creationId xmlns:a16="http://schemas.microsoft.com/office/drawing/2014/main" id="{1A5EA4D7-D41F-B145-89C5-B3E1CACF0CB2}"/>
            </a:ext>
          </a:extLst>
        </xdr:cNvPr>
        <xdr:cNvSpPr/>
      </xdr:nvSpPr>
      <xdr:spPr>
        <a:xfrm>
          <a:off x="11353801" y="1752600"/>
          <a:ext cx="601133" cy="584200"/>
        </a:xfrm>
        <a:prstGeom prst="diamond">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U</a:t>
          </a:r>
        </a:p>
      </xdr:txBody>
    </xdr:sp>
    <xdr:clientData/>
  </xdr:twoCellAnchor>
  <xdr:twoCellAnchor>
    <xdr:from>
      <xdr:col>12</xdr:col>
      <xdr:colOff>474133</xdr:colOff>
      <xdr:row>5</xdr:row>
      <xdr:rowOff>50800</xdr:rowOff>
    </xdr:from>
    <xdr:to>
      <xdr:col>13</xdr:col>
      <xdr:colOff>779830</xdr:colOff>
      <xdr:row>7</xdr:row>
      <xdr:rowOff>64930</xdr:rowOff>
    </xdr:to>
    <xdr:sp macro="" textlink="">
      <xdr:nvSpPr>
        <xdr:cNvPr id="14" name="Oval 13">
          <a:extLst>
            <a:ext uri="{FF2B5EF4-FFF2-40B4-BE49-F238E27FC236}">
              <a16:creationId xmlns:a16="http://schemas.microsoft.com/office/drawing/2014/main" id="{AD516826-2E39-D644-B3E3-FF81BE5F4C07}"/>
            </a:ext>
          </a:extLst>
        </xdr:cNvPr>
        <xdr:cNvSpPr/>
      </xdr:nvSpPr>
      <xdr:spPr>
        <a:xfrm>
          <a:off x="9829800" y="1159933"/>
          <a:ext cx="1135430" cy="420530"/>
        </a:xfrm>
        <a:prstGeom prst="ellipse">
          <a:avLst/>
        </a:prstGeom>
        <a:solidFill>
          <a:srgbClr val="83F199"/>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Condition</a:t>
          </a:r>
        </a:p>
      </xdr:txBody>
    </xdr:sp>
    <xdr:clientData/>
  </xdr:twoCellAnchor>
  <xdr:twoCellAnchor>
    <xdr:from>
      <xdr:col>12</xdr:col>
      <xdr:colOff>550334</xdr:colOff>
      <xdr:row>8</xdr:row>
      <xdr:rowOff>101602</xdr:rowOff>
    </xdr:from>
    <xdr:to>
      <xdr:col>13</xdr:col>
      <xdr:colOff>304800</xdr:colOff>
      <xdr:row>10</xdr:row>
      <xdr:rowOff>135469</xdr:rowOff>
    </xdr:to>
    <xdr:sp macro="" textlink="">
      <xdr:nvSpPr>
        <xdr:cNvPr id="15" name="Rectangle 14">
          <a:extLst>
            <a:ext uri="{FF2B5EF4-FFF2-40B4-BE49-F238E27FC236}">
              <a16:creationId xmlns:a16="http://schemas.microsoft.com/office/drawing/2014/main" id="{F1FF8F83-2BDE-414A-A81A-802808FFE650}"/>
            </a:ext>
          </a:extLst>
        </xdr:cNvPr>
        <xdr:cNvSpPr/>
      </xdr:nvSpPr>
      <xdr:spPr>
        <a:xfrm>
          <a:off x="9906001" y="1820335"/>
          <a:ext cx="584199" cy="440267"/>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600"/>
            <a:t>D(C)</a:t>
          </a:r>
        </a:p>
      </xdr:txBody>
    </xdr:sp>
    <xdr:clientData/>
  </xdr:twoCellAnchor>
  <xdr:twoCellAnchor>
    <xdr:from>
      <xdr:col>13</xdr:col>
      <xdr:colOff>779830</xdr:colOff>
      <xdr:row>6</xdr:row>
      <xdr:rowOff>57865</xdr:rowOff>
    </xdr:from>
    <xdr:to>
      <xdr:col>14</xdr:col>
      <xdr:colOff>592667</xdr:colOff>
      <xdr:row>8</xdr:row>
      <xdr:rowOff>50800</xdr:rowOff>
    </xdr:to>
    <xdr:cxnSp macro="">
      <xdr:nvCxnSpPr>
        <xdr:cNvPr id="16" name="Curved Connector 15">
          <a:extLst>
            <a:ext uri="{FF2B5EF4-FFF2-40B4-BE49-F238E27FC236}">
              <a16:creationId xmlns:a16="http://schemas.microsoft.com/office/drawing/2014/main" id="{94E18806-0CE1-1549-B412-9E247069AEC5}"/>
            </a:ext>
          </a:extLst>
        </xdr:cNvPr>
        <xdr:cNvCxnSpPr>
          <a:stCxn id="14" idx="6"/>
        </xdr:cNvCxnSpPr>
      </xdr:nvCxnSpPr>
      <xdr:spPr>
        <a:xfrm>
          <a:off x="10965230" y="1370198"/>
          <a:ext cx="642570" cy="399335"/>
        </a:xfrm>
        <a:prstGeom prst="curvedConnector3">
          <a:avLst>
            <a:gd name="adj1" fmla="val 9216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304800</xdr:colOff>
      <xdr:row>9</xdr:row>
      <xdr:rowOff>118536</xdr:rowOff>
    </xdr:from>
    <xdr:to>
      <xdr:col>14</xdr:col>
      <xdr:colOff>338668</xdr:colOff>
      <xdr:row>9</xdr:row>
      <xdr:rowOff>122767</xdr:rowOff>
    </xdr:to>
    <xdr:cxnSp macro="">
      <xdr:nvCxnSpPr>
        <xdr:cNvPr id="17" name="Straight Arrow Connector 16">
          <a:extLst>
            <a:ext uri="{FF2B5EF4-FFF2-40B4-BE49-F238E27FC236}">
              <a16:creationId xmlns:a16="http://schemas.microsoft.com/office/drawing/2014/main" id="{1B701622-F48F-1043-9DC1-80B458C9F6A0}"/>
            </a:ext>
          </a:extLst>
        </xdr:cNvPr>
        <xdr:cNvCxnSpPr>
          <a:stCxn id="15" idx="3"/>
          <a:endCxn id="13" idx="1"/>
        </xdr:cNvCxnSpPr>
      </xdr:nvCxnSpPr>
      <xdr:spPr>
        <a:xfrm>
          <a:off x="10490200" y="2040469"/>
          <a:ext cx="863601" cy="42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635000</xdr:colOff>
      <xdr:row>7</xdr:row>
      <xdr:rowOff>33867</xdr:rowOff>
    </xdr:from>
    <xdr:to>
      <xdr:col>12</xdr:col>
      <xdr:colOff>770466</xdr:colOff>
      <xdr:row>8</xdr:row>
      <xdr:rowOff>110067</xdr:rowOff>
    </xdr:to>
    <xdr:cxnSp macro="">
      <xdr:nvCxnSpPr>
        <xdr:cNvPr id="19" name="Straight Arrow Connector 18">
          <a:extLst>
            <a:ext uri="{FF2B5EF4-FFF2-40B4-BE49-F238E27FC236}">
              <a16:creationId xmlns:a16="http://schemas.microsoft.com/office/drawing/2014/main" id="{67FDC125-050E-0650-19A2-44F58ED41515}"/>
            </a:ext>
          </a:extLst>
        </xdr:cNvPr>
        <xdr:cNvCxnSpPr/>
      </xdr:nvCxnSpPr>
      <xdr:spPr>
        <a:xfrm flipH="1">
          <a:off x="9990667" y="1549400"/>
          <a:ext cx="135466" cy="279400"/>
        </a:xfrm>
        <a:prstGeom prst="straightConnector1">
          <a:avLst/>
        </a:prstGeom>
        <a:ln w="41275">
          <a:solidFill>
            <a:srgbClr val="C00000"/>
          </a:solidFill>
          <a:prstDash val="sys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16</xdr:row>
      <xdr:rowOff>84666</xdr:rowOff>
    </xdr:from>
    <xdr:to>
      <xdr:col>8</xdr:col>
      <xdr:colOff>0</xdr:colOff>
      <xdr:row>16</xdr:row>
      <xdr:rowOff>110066</xdr:rowOff>
    </xdr:to>
    <xdr:cxnSp macro="">
      <xdr:nvCxnSpPr>
        <xdr:cNvPr id="21" name="Straight Connector 20">
          <a:extLst>
            <a:ext uri="{FF2B5EF4-FFF2-40B4-BE49-F238E27FC236}">
              <a16:creationId xmlns:a16="http://schemas.microsoft.com/office/drawing/2014/main" id="{84A06E17-0B13-8F68-1392-D802D28C3052}"/>
            </a:ext>
          </a:extLst>
        </xdr:cNvPr>
        <xdr:cNvCxnSpPr/>
      </xdr:nvCxnSpPr>
      <xdr:spPr>
        <a:xfrm>
          <a:off x="5765800" y="3445933"/>
          <a:ext cx="872067" cy="25400"/>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7</xdr:col>
      <xdr:colOff>8467</xdr:colOff>
      <xdr:row>16</xdr:row>
      <xdr:rowOff>177800</xdr:rowOff>
    </xdr:from>
    <xdr:to>
      <xdr:col>8</xdr:col>
      <xdr:colOff>8466</xdr:colOff>
      <xdr:row>20</xdr:row>
      <xdr:rowOff>118533</xdr:rowOff>
    </xdr:to>
    <xdr:cxnSp macro="">
      <xdr:nvCxnSpPr>
        <xdr:cNvPr id="22" name="Straight Connector 21">
          <a:extLst>
            <a:ext uri="{FF2B5EF4-FFF2-40B4-BE49-F238E27FC236}">
              <a16:creationId xmlns:a16="http://schemas.microsoft.com/office/drawing/2014/main" id="{9701C39B-9B77-3C46-9BE6-F5A1EABA0E8F}"/>
            </a:ext>
          </a:extLst>
        </xdr:cNvPr>
        <xdr:cNvCxnSpPr/>
      </xdr:nvCxnSpPr>
      <xdr:spPr>
        <a:xfrm>
          <a:off x="5816600" y="3539067"/>
          <a:ext cx="829733" cy="770466"/>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14</xdr:col>
      <xdr:colOff>8467</xdr:colOff>
      <xdr:row>16</xdr:row>
      <xdr:rowOff>101600</xdr:rowOff>
    </xdr:from>
    <xdr:to>
      <xdr:col>15</xdr:col>
      <xdr:colOff>8466</xdr:colOff>
      <xdr:row>16</xdr:row>
      <xdr:rowOff>101600</xdr:rowOff>
    </xdr:to>
    <xdr:cxnSp macro="">
      <xdr:nvCxnSpPr>
        <xdr:cNvPr id="24" name="Straight Connector 23">
          <a:extLst>
            <a:ext uri="{FF2B5EF4-FFF2-40B4-BE49-F238E27FC236}">
              <a16:creationId xmlns:a16="http://schemas.microsoft.com/office/drawing/2014/main" id="{CD3E27D2-7A2F-A64E-8BBB-8FF8C0955695}"/>
            </a:ext>
          </a:extLst>
        </xdr:cNvPr>
        <xdr:cNvCxnSpPr/>
      </xdr:nvCxnSpPr>
      <xdr:spPr>
        <a:xfrm>
          <a:off x="11023600" y="3462867"/>
          <a:ext cx="829733" cy="0"/>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13</xdr:col>
      <xdr:colOff>821267</xdr:colOff>
      <xdr:row>16</xdr:row>
      <xdr:rowOff>143933</xdr:rowOff>
    </xdr:from>
    <xdr:to>
      <xdr:col>15</xdr:col>
      <xdr:colOff>0</xdr:colOff>
      <xdr:row>20</xdr:row>
      <xdr:rowOff>84665</xdr:rowOff>
    </xdr:to>
    <xdr:cxnSp macro="">
      <xdr:nvCxnSpPr>
        <xdr:cNvPr id="25" name="Straight Connector 24">
          <a:extLst>
            <a:ext uri="{FF2B5EF4-FFF2-40B4-BE49-F238E27FC236}">
              <a16:creationId xmlns:a16="http://schemas.microsoft.com/office/drawing/2014/main" id="{C39D7661-5B67-C244-9CFA-241716539838}"/>
            </a:ext>
          </a:extLst>
        </xdr:cNvPr>
        <xdr:cNvCxnSpPr/>
      </xdr:nvCxnSpPr>
      <xdr:spPr>
        <a:xfrm>
          <a:off x="11006667" y="3505200"/>
          <a:ext cx="838200" cy="770465"/>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694268</xdr:colOff>
      <xdr:row>8</xdr:row>
      <xdr:rowOff>186267</xdr:rowOff>
    </xdr:from>
    <xdr:to>
      <xdr:col>8</xdr:col>
      <xdr:colOff>465667</xdr:colOff>
      <xdr:row>11</xdr:row>
      <xdr:rowOff>160867</xdr:rowOff>
    </xdr:to>
    <xdr:sp macro="" textlink="">
      <xdr:nvSpPr>
        <xdr:cNvPr id="2" name="Diamond 1">
          <a:extLst>
            <a:ext uri="{FF2B5EF4-FFF2-40B4-BE49-F238E27FC236}">
              <a16:creationId xmlns:a16="http://schemas.microsoft.com/office/drawing/2014/main" id="{552039F6-EED3-5D41-AC5E-E162F724D85C}"/>
            </a:ext>
          </a:extLst>
        </xdr:cNvPr>
        <xdr:cNvSpPr/>
      </xdr:nvSpPr>
      <xdr:spPr>
        <a:xfrm>
          <a:off x="6502401" y="1684867"/>
          <a:ext cx="601133" cy="584200"/>
        </a:xfrm>
        <a:prstGeom prst="diamond">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U</a:t>
          </a:r>
        </a:p>
      </xdr:txBody>
    </xdr:sp>
    <xdr:clientData/>
  </xdr:twoCellAnchor>
  <xdr:twoCellAnchor>
    <xdr:from>
      <xdr:col>6</xdr:col>
      <xdr:colOff>0</xdr:colOff>
      <xdr:row>6</xdr:row>
      <xdr:rowOff>0</xdr:rowOff>
    </xdr:from>
    <xdr:to>
      <xdr:col>7</xdr:col>
      <xdr:colOff>305697</xdr:colOff>
      <xdr:row>8</xdr:row>
      <xdr:rowOff>14130</xdr:rowOff>
    </xdr:to>
    <xdr:sp macro="" textlink="">
      <xdr:nvSpPr>
        <xdr:cNvPr id="3" name="Oval 2">
          <a:extLst>
            <a:ext uri="{FF2B5EF4-FFF2-40B4-BE49-F238E27FC236}">
              <a16:creationId xmlns:a16="http://schemas.microsoft.com/office/drawing/2014/main" id="{7E23165A-93C4-854D-B9D3-3FBDD1315321}"/>
            </a:ext>
          </a:extLst>
        </xdr:cNvPr>
        <xdr:cNvSpPr/>
      </xdr:nvSpPr>
      <xdr:spPr>
        <a:xfrm>
          <a:off x="4978400" y="1092200"/>
          <a:ext cx="1135430" cy="420530"/>
        </a:xfrm>
        <a:prstGeom prst="ellipse">
          <a:avLst/>
        </a:prstGeom>
        <a:solidFill>
          <a:srgbClr val="83F199"/>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Condition</a:t>
          </a:r>
        </a:p>
      </xdr:txBody>
    </xdr:sp>
    <xdr:clientData/>
  </xdr:twoCellAnchor>
  <xdr:twoCellAnchor>
    <xdr:from>
      <xdr:col>6</xdr:col>
      <xdr:colOff>76201</xdr:colOff>
      <xdr:row>9</xdr:row>
      <xdr:rowOff>50802</xdr:rowOff>
    </xdr:from>
    <xdr:to>
      <xdr:col>6</xdr:col>
      <xdr:colOff>541868</xdr:colOff>
      <xdr:row>11</xdr:row>
      <xdr:rowOff>84669</xdr:rowOff>
    </xdr:to>
    <xdr:sp macro="" textlink="">
      <xdr:nvSpPr>
        <xdr:cNvPr id="4" name="Rectangle 3">
          <a:extLst>
            <a:ext uri="{FF2B5EF4-FFF2-40B4-BE49-F238E27FC236}">
              <a16:creationId xmlns:a16="http://schemas.microsoft.com/office/drawing/2014/main" id="{74B900C4-6BFC-A848-8036-F95009F3AB95}"/>
            </a:ext>
          </a:extLst>
        </xdr:cNvPr>
        <xdr:cNvSpPr/>
      </xdr:nvSpPr>
      <xdr:spPr>
        <a:xfrm>
          <a:off x="5054601" y="1752602"/>
          <a:ext cx="465667" cy="440267"/>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600"/>
            <a:t>D</a:t>
          </a:r>
        </a:p>
      </xdr:txBody>
    </xdr:sp>
    <xdr:clientData/>
  </xdr:twoCellAnchor>
  <xdr:twoCellAnchor>
    <xdr:from>
      <xdr:col>7</xdr:col>
      <xdr:colOff>305697</xdr:colOff>
      <xdr:row>7</xdr:row>
      <xdr:rowOff>7065</xdr:rowOff>
    </xdr:from>
    <xdr:to>
      <xdr:col>8</xdr:col>
      <xdr:colOff>118533</xdr:colOff>
      <xdr:row>9</xdr:row>
      <xdr:rowOff>0</xdr:rowOff>
    </xdr:to>
    <xdr:cxnSp macro="">
      <xdr:nvCxnSpPr>
        <xdr:cNvPr id="5" name="Curved Connector 4">
          <a:extLst>
            <a:ext uri="{FF2B5EF4-FFF2-40B4-BE49-F238E27FC236}">
              <a16:creationId xmlns:a16="http://schemas.microsoft.com/office/drawing/2014/main" id="{C2A79D3D-136A-6E4A-8B79-3CCCBCDDFB1E}"/>
            </a:ext>
          </a:extLst>
        </xdr:cNvPr>
        <xdr:cNvCxnSpPr>
          <a:stCxn id="3" idx="6"/>
        </xdr:cNvCxnSpPr>
      </xdr:nvCxnSpPr>
      <xdr:spPr>
        <a:xfrm>
          <a:off x="6113830" y="1302465"/>
          <a:ext cx="642570" cy="399335"/>
        </a:xfrm>
        <a:prstGeom prst="curvedConnector3">
          <a:avLst>
            <a:gd name="adj1" fmla="val 9216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541868</xdr:colOff>
      <xdr:row>10</xdr:row>
      <xdr:rowOff>67736</xdr:rowOff>
    </xdr:from>
    <xdr:to>
      <xdr:col>7</xdr:col>
      <xdr:colOff>694268</xdr:colOff>
      <xdr:row>10</xdr:row>
      <xdr:rowOff>71967</xdr:rowOff>
    </xdr:to>
    <xdr:cxnSp macro="">
      <xdr:nvCxnSpPr>
        <xdr:cNvPr id="6" name="Straight Arrow Connector 5">
          <a:extLst>
            <a:ext uri="{FF2B5EF4-FFF2-40B4-BE49-F238E27FC236}">
              <a16:creationId xmlns:a16="http://schemas.microsoft.com/office/drawing/2014/main" id="{C8FF9590-CBD7-1A4F-AE4D-8688B002F500}"/>
            </a:ext>
          </a:extLst>
        </xdr:cNvPr>
        <xdr:cNvCxnSpPr>
          <a:stCxn id="4" idx="3"/>
          <a:endCxn id="2" idx="1"/>
        </xdr:cNvCxnSpPr>
      </xdr:nvCxnSpPr>
      <xdr:spPr>
        <a:xfrm>
          <a:off x="5520268" y="1972736"/>
          <a:ext cx="982133" cy="42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482600</xdr:colOff>
      <xdr:row>7</xdr:row>
      <xdr:rowOff>25400</xdr:rowOff>
    </xdr:from>
    <xdr:to>
      <xdr:col>5</xdr:col>
      <xdr:colOff>561210</xdr:colOff>
      <xdr:row>9</xdr:row>
      <xdr:rowOff>39529</xdr:rowOff>
    </xdr:to>
    <xdr:sp macro="" textlink="">
      <xdr:nvSpPr>
        <xdr:cNvPr id="7" name="Oval 6">
          <a:extLst>
            <a:ext uri="{FF2B5EF4-FFF2-40B4-BE49-F238E27FC236}">
              <a16:creationId xmlns:a16="http://schemas.microsoft.com/office/drawing/2014/main" id="{0AA87581-08E3-7A4B-A40B-1327B309334E}"/>
            </a:ext>
          </a:extLst>
        </xdr:cNvPr>
        <xdr:cNvSpPr/>
      </xdr:nvSpPr>
      <xdr:spPr>
        <a:xfrm>
          <a:off x="3801533" y="1320800"/>
          <a:ext cx="908344" cy="420529"/>
        </a:xfrm>
        <a:prstGeom prst="ellipse">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Test</a:t>
          </a:r>
        </a:p>
        <a:p>
          <a:pPr algn="l"/>
          <a:endParaRPr lang="en-US" sz="1100"/>
        </a:p>
      </xdr:txBody>
    </xdr:sp>
    <xdr:clientData/>
  </xdr:twoCellAnchor>
  <xdr:twoCellAnchor>
    <xdr:from>
      <xdr:col>15</xdr:col>
      <xdr:colOff>245534</xdr:colOff>
      <xdr:row>9</xdr:row>
      <xdr:rowOff>33867</xdr:rowOff>
    </xdr:from>
    <xdr:to>
      <xdr:col>16</xdr:col>
      <xdr:colOff>135465</xdr:colOff>
      <xdr:row>12</xdr:row>
      <xdr:rowOff>8467</xdr:rowOff>
    </xdr:to>
    <xdr:sp macro="" textlink="">
      <xdr:nvSpPr>
        <xdr:cNvPr id="8" name="Diamond 7">
          <a:extLst>
            <a:ext uri="{FF2B5EF4-FFF2-40B4-BE49-F238E27FC236}">
              <a16:creationId xmlns:a16="http://schemas.microsoft.com/office/drawing/2014/main" id="{079D55BC-5B83-2A4C-88FC-13993759ECE6}"/>
            </a:ext>
          </a:extLst>
        </xdr:cNvPr>
        <xdr:cNvSpPr/>
      </xdr:nvSpPr>
      <xdr:spPr>
        <a:xfrm>
          <a:off x="12115801" y="1735667"/>
          <a:ext cx="575731" cy="584200"/>
        </a:xfrm>
        <a:prstGeom prst="diamond">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U</a:t>
          </a:r>
        </a:p>
      </xdr:txBody>
    </xdr:sp>
    <xdr:clientData/>
  </xdr:twoCellAnchor>
  <xdr:twoCellAnchor>
    <xdr:from>
      <xdr:col>13</xdr:col>
      <xdr:colOff>381001</xdr:colOff>
      <xdr:row>6</xdr:row>
      <xdr:rowOff>50800</xdr:rowOff>
    </xdr:from>
    <xdr:to>
      <xdr:col>14</xdr:col>
      <xdr:colOff>686698</xdr:colOff>
      <xdr:row>8</xdr:row>
      <xdr:rowOff>64930</xdr:rowOff>
    </xdr:to>
    <xdr:sp macro="" textlink="">
      <xdr:nvSpPr>
        <xdr:cNvPr id="9" name="Oval 8">
          <a:extLst>
            <a:ext uri="{FF2B5EF4-FFF2-40B4-BE49-F238E27FC236}">
              <a16:creationId xmlns:a16="http://schemas.microsoft.com/office/drawing/2014/main" id="{9D8B3CD6-5D17-9F41-BDAF-8A948A4A66EC}"/>
            </a:ext>
          </a:extLst>
        </xdr:cNvPr>
        <xdr:cNvSpPr/>
      </xdr:nvSpPr>
      <xdr:spPr>
        <a:xfrm>
          <a:off x="10591801" y="1143000"/>
          <a:ext cx="1135430" cy="420530"/>
        </a:xfrm>
        <a:prstGeom prst="ellipse">
          <a:avLst/>
        </a:prstGeom>
        <a:solidFill>
          <a:srgbClr val="83F199"/>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100">
              <a:solidFill>
                <a:schemeClr val="tx1"/>
              </a:solidFill>
            </a:rPr>
            <a:t>Condition</a:t>
          </a:r>
        </a:p>
      </xdr:txBody>
    </xdr:sp>
    <xdr:clientData/>
  </xdr:twoCellAnchor>
  <xdr:twoCellAnchor>
    <xdr:from>
      <xdr:col>13</xdr:col>
      <xdr:colOff>457202</xdr:colOff>
      <xdr:row>9</xdr:row>
      <xdr:rowOff>101602</xdr:rowOff>
    </xdr:from>
    <xdr:to>
      <xdr:col>14</xdr:col>
      <xdr:colOff>160866</xdr:colOff>
      <xdr:row>11</xdr:row>
      <xdr:rowOff>135469</xdr:rowOff>
    </xdr:to>
    <xdr:sp macro="" textlink="">
      <xdr:nvSpPr>
        <xdr:cNvPr id="10" name="Rectangle 9">
          <a:extLst>
            <a:ext uri="{FF2B5EF4-FFF2-40B4-BE49-F238E27FC236}">
              <a16:creationId xmlns:a16="http://schemas.microsoft.com/office/drawing/2014/main" id="{A8432736-628F-FA42-B961-B04BFDB5582C}"/>
            </a:ext>
          </a:extLst>
        </xdr:cNvPr>
        <xdr:cNvSpPr/>
      </xdr:nvSpPr>
      <xdr:spPr>
        <a:xfrm>
          <a:off x="10811935" y="2023535"/>
          <a:ext cx="533398" cy="440267"/>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600"/>
            <a:t>D(T)</a:t>
          </a:r>
        </a:p>
      </xdr:txBody>
    </xdr:sp>
    <xdr:clientData/>
  </xdr:twoCellAnchor>
  <xdr:twoCellAnchor>
    <xdr:from>
      <xdr:col>14</xdr:col>
      <xdr:colOff>686698</xdr:colOff>
      <xdr:row>7</xdr:row>
      <xdr:rowOff>57865</xdr:rowOff>
    </xdr:from>
    <xdr:to>
      <xdr:col>15</xdr:col>
      <xdr:colOff>499534</xdr:colOff>
      <xdr:row>9</xdr:row>
      <xdr:rowOff>50800</xdr:rowOff>
    </xdr:to>
    <xdr:cxnSp macro="">
      <xdr:nvCxnSpPr>
        <xdr:cNvPr id="11" name="Curved Connector 10">
          <a:extLst>
            <a:ext uri="{FF2B5EF4-FFF2-40B4-BE49-F238E27FC236}">
              <a16:creationId xmlns:a16="http://schemas.microsoft.com/office/drawing/2014/main" id="{5F1BD092-A751-A84B-8524-8C8EA288B1B8}"/>
            </a:ext>
          </a:extLst>
        </xdr:cNvPr>
        <xdr:cNvCxnSpPr>
          <a:stCxn id="9" idx="6"/>
        </xdr:cNvCxnSpPr>
      </xdr:nvCxnSpPr>
      <xdr:spPr>
        <a:xfrm>
          <a:off x="11727231" y="1353265"/>
          <a:ext cx="642570" cy="399335"/>
        </a:xfrm>
        <a:prstGeom prst="curvedConnector3">
          <a:avLst>
            <a:gd name="adj1" fmla="val 92164"/>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160866</xdr:colOff>
      <xdr:row>10</xdr:row>
      <xdr:rowOff>118536</xdr:rowOff>
    </xdr:from>
    <xdr:to>
      <xdr:col>15</xdr:col>
      <xdr:colOff>245534</xdr:colOff>
      <xdr:row>10</xdr:row>
      <xdr:rowOff>122767</xdr:rowOff>
    </xdr:to>
    <xdr:cxnSp macro="">
      <xdr:nvCxnSpPr>
        <xdr:cNvPr id="12" name="Straight Arrow Connector 11">
          <a:extLst>
            <a:ext uri="{FF2B5EF4-FFF2-40B4-BE49-F238E27FC236}">
              <a16:creationId xmlns:a16="http://schemas.microsoft.com/office/drawing/2014/main" id="{2C6E37DE-8703-214B-B367-DBAB456B6FE6}"/>
            </a:ext>
          </a:extLst>
        </xdr:cNvPr>
        <xdr:cNvCxnSpPr>
          <a:stCxn id="10" idx="3"/>
          <a:endCxn id="8" idx="1"/>
        </xdr:cNvCxnSpPr>
      </xdr:nvCxnSpPr>
      <xdr:spPr>
        <a:xfrm>
          <a:off x="11345333" y="2243669"/>
          <a:ext cx="914401" cy="423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33867</xdr:colOff>
      <xdr:row>7</xdr:row>
      <xdr:rowOff>76200</xdr:rowOff>
    </xdr:from>
    <xdr:to>
      <xdr:col>13</xdr:col>
      <xdr:colOff>112478</xdr:colOff>
      <xdr:row>9</xdr:row>
      <xdr:rowOff>90329</xdr:rowOff>
    </xdr:to>
    <xdr:sp macro="" textlink="">
      <xdr:nvSpPr>
        <xdr:cNvPr id="13" name="Oval 12">
          <a:extLst>
            <a:ext uri="{FF2B5EF4-FFF2-40B4-BE49-F238E27FC236}">
              <a16:creationId xmlns:a16="http://schemas.microsoft.com/office/drawing/2014/main" id="{318E9097-7F15-B046-B731-E9E2D30708F4}"/>
            </a:ext>
          </a:extLst>
        </xdr:cNvPr>
        <xdr:cNvSpPr/>
      </xdr:nvSpPr>
      <xdr:spPr>
        <a:xfrm>
          <a:off x="9414934" y="1371600"/>
          <a:ext cx="908344" cy="420529"/>
        </a:xfrm>
        <a:prstGeom prst="ellipse">
          <a:avLst/>
        </a:prstGeom>
        <a:solidFill>
          <a:schemeClr val="accent1">
            <a:lumMod val="60000"/>
            <a:lumOff val="4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t>Test</a:t>
          </a:r>
        </a:p>
        <a:p>
          <a:pPr algn="l"/>
          <a:endParaRPr lang="en-US" sz="1100"/>
        </a:p>
      </xdr:txBody>
    </xdr:sp>
    <xdr:clientData/>
  </xdr:twoCellAnchor>
  <xdr:twoCellAnchor>
    <xdr:from>
      <xdr:col>5</xdr:col>
      <xdr:colOff>428185</xdr:colOff>
      <xdr:row>7</xdr:row>
      <xdr:rowOff>7066</xdr:rowOff>
    </xdr:from>
    <xdr:to>
      <xdr:col>5</xdr:col>
      <xdr:colOff>829732</xdr:colOff>
      <xdr:row>7</xdr:row>
      <xdr:rowOff>86986</xdr:rowOff>
    </xdr:to>
    <xdr:cxnSp macro="">
      <xdr:nvCxnSpPr>
        <xdr:cNvPr id="15" name="Curved Connector 14">
          <a:extLst>
            <a:ext uri="{FF2B5EF4-FFF2-40B4-BE49-F238E27FC236}">
              <a16:creationId xmlns:a16="http://schemas.microsoft.com/office/drawing/2014/main" id="{4E41C5C3-4709-DEB1-C34F-5ADB411FA003}"/>
            </a:ext>
          </a:extLst>
        </xdr:cNvPr>
        <xdr:cNvCxnSpPr>
          <a:stCxn id="7" idx="7"/>
          <a:endCxn id="3" idx="2"/>
        </xdr:cNvCxnSpPr>
      </xdr:nvCxnSpPr>
      <xdr:spPr>
        <a:xfrm rot="5400000" flipH="1" flipV="1">
          <a:off x="4737666" y="1141652"/>
          <a:ext cx="79920" cy="401547"/>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809186</xdr:colOff>
      <xdr:row>7</xdr:row>
      <xdr:rowOff>32465</xdr:rowOff>
    </xdr:from>
    <xdr:to>
      <xdr:col>13</xdr:col>
      <xdr:colOff>381000</xdr:colOff>
      <xdr:row>7</xdr:row>
      <xdr:rowOff>112385</xdr:rowOff>
    </xdr:to>
    <xdr:cxnSp macro="">
      <xdr:nvCxnSpPr>
        <xdr:cNvPr id="16" name="Curved Connector 15">
          <a:extLst>
            <a:ext uri="{FF2B5EF4-FFF2-40B4-BE49-F238E27FC236}">
              <a16:creationId xmlns:a16="http://schemas.microsoft.com/office/drawing/2014/main" id="{6C5A7F55-D8F9-274A-9BFF-564D090E0872}"/>
            </a:ext>
          </a:extLst>
        </xdr:cNvPr>
        <xdr:cNvCxnSpPr/>
      </xdr:nvCxnSpPr>
      <xdr:spPr>
        <a:xfrm rot="5400000" flipH="1" flipV="1">
          <a:off x="10351067" y="1167051"/>
          <a:ext cx="79920" cy="401547"/>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488040</xdr:colOff>
      <xdr:row>9</xdr:row>
      <xdr:rowOff>90328</xdr:rowOff>
    </xdr:from>
    <xdr:to>
      <xdr:col>13</xdr:col>
      <xdr:colOff>457203</xdr:colOff>
      <xdr:row>10</xdr:row>
      <xdr:rowOff>118535</xdr:rowOff>
    </xdr:to>
    <xdr:cxnSp macro="">
      <xdr:nvCxnSpPr>
        <xdr:cNvPr id="18" name="Curved Connector 17">
          <a:extLst>
            <a:ext uri="{FF2B5EF4-FFF2-40B4-BE49-F238E27FC236}">
              <a16:creationId xmlns:a16="http://schemas.microsoft.com/office/drawing/2014/main" id="{167140CC-9C5E-C514-3865-7B54F31E599A}"/>
            </a:ext>
          </a:extLst>
        </xdr:cNvPr>
        <xdr:cNvCxnSpPr>
          <a:stCxn id="13" idx="4"/>
          <a:endCxn id="10" idx="1"/>
        </xdr:cNvCxnSpPr>
      </xdr:nvCxnSpPr>
      <xdr:spPr>
        <a:xfrm rot="16200000" flipH="1">
          <a:off x="10296784" y="1728517"/>
          <a:ext cx="231407" cy="798896"/>
        </a:xfrm>
        <a:prstGeom prst="curvedConnector2">
          <a:avLst/>
        </a:prstGeom>
        <a:ln w="38100">
          <a:prstDash val="sysDash"/>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15</xdr:col>
      <xdr:colOff>668867</xdr:colOff>
      <xdr:row>16</xdr:row>
      <xdr:rowOff>101600</xdr:rowOff>
    </xdr:from>
    <xdr:to>
      <xdr:col>17</xdr:col>
      <xdr:colOff>0</xdr:colOff>
      <xdr:row>20</xdr:row>
      <xdr:rowOff>169334</xdr:rowOff>
    </xdr:to>
    <xdr:cxnSp macro="">
      <xdr:nvCxnSpPr>
        <xdr:cNvPr id="21" name="Straight Connector 20">
          <a:extLst>
            <a:ext uri="{FF2B5EF4-FFF2-40B4-BE49-F238E27FC236}">
              <a16:creationId xmlns:a16="http://schemas.microsoft.com/office/drawing/2014/main" id="{DC7E9C4D-6239-BEBC-1FDC-2A7AD11775C9}"/>
            </a:ext>
          </a:extLst>
        </xdr:cNvPr>
        <xdr:cNvCxnSpPr/>
      </xdr:nvCxnSpPr>
      <xdr:spPr>
        <a:xfrm>
          <a:off x="12683067" y="3445933"/>
          <a:ext cx="338666" cy="880534"/>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16</xdr:col>
      <xdr:colOff>8467</xdr:colOff>
      <xdr:row>25</xdr:row>
      <xdr:rowOff>143934</xdr:rowOff>
    </xdr:from>
    <xdr:to>
      <xdr:col>16</xdr:col>
      <xdr:colOff>313266</xdr:colOff>
      <xdr:row>29</xdr:row>
      <xdr:rowOff>127000</xdr:rowOff>
    </xdr:to>
    <xdr:cxnSp macro="">
      <xdr:nvCxnSpPr>
        <xdr:cNvPr id="22" name="Straight Connector 21">
          <a:extLst>
            <a:ext uri="{FF2B5EF4-FFF2-40B4-BE49-F238E27FC236}">
              <a16:creationId xmlns:a16="http://schemas.microsoft.com/office/drawing/2014/main" id="{2838F56E-B654-DD46-A571-608BE6EE0BED}"/>
            </a:ext>
          </a:extLst>
        </xdr:cNvPr>
        <xdr:cNvCxnSpPr/>
      </xdr:nvCxnSpPr>
      <xdr:spPr>
        <a:xfrm>
          <a:off x="12708467" y="5317067"/>
          <a:ext cx="304799" cy="795866"/>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15</xdr:col>
      <xdr:colOff>677334</xdr:colOff>
      <xdr:row>16</xdr:row>
      <xdr:rowOff>50800</xdr:rowOff>
    </xdr:from>
    <xdr:to>
      <xdr:col>17</xdr:col>
      <xdr:colOff>25400</xdr:colOff>
      <xdr:row>16</xdr:row>
      <xdr:rowOff>59267</xdr:rowOff>
    </xdr:to>
    <xdr:cxnSp macro="">
      <xdr:nvCxnSpPr>
        <xdr:cNvPr id="26" name="Straight Connector 25">
          <a:extLst>
            <a:ext uri="{FF2B5EF4-FFF2-40B4-BE49-F238E27FC236}">
              <a16:creationId xmlns:a16="http://schemas.microsoft.com/office/drawing/2014/main" id="{33E34020-8871-6A43-83AC-90403D19AF9E}"/>
            </a:ext>
          </a:extLst>
        </xdr:cNvPr>
        <xdr:cNvCxnSpPr/>
      </xdr:nvCxnSpPr>
      <xdr:spPr>
        <a:xfrm>
          <a:off x="12691534" y="3395133"/>
          <a:ext cx="355599" cy="8467"/>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15</xdr:col>
      <xdr:colOff>677334</xdr:colOff>
      <xdr:row>25</xdr:row>
      <xdr:rowOff>76200</xdr:rowOff>
    </xdr:from>
    <xdr:to>
      <xdr:col>17</xdr:col>
      <xdr:colOff>25400</xdr:colOff>
      <xdr:row>25</xdr:row>
      <xdr:rowOff>84667</xdr:rowOff>
    </xdr:to>
    <xdr:cxnSp macro="">
      <xdr:nvCxnSpPr>
        <xdr:cNvPr id="29" name="Straight Connector 28">
          <a:extLst>
            <a:ext uri="{FF2B5EF4-FFF2-40B4-BE49-F238E27FC236}">
              <a16:creationId xmlns:a16="http://schemas.microsoft.com/office/drawing/2014/main" id="{752A6F33-32F2-C947-89D5-59BCFB25E59B}"/>
            </a:ext>
          </a:extLst>
        </xdr:cNvPr>
        <xdr:cNvCxnSpPr/>
      </xdr:nvCxnSpPr>
      <xdr:spPr>
        <a:xfrm>
          <a:off x="12691534" y="5249333"/>
          <a:ext cx="355599" cy="8467"/>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13</xdr:col>
      <xdr:colOff>0</xdr:colOff>
      <xdr:row>16</xdr:row>
      <xdr:rowOff>118534</xdr:rowOff>
    </xdr:from>
    <xdr:to>
      <xdr:col>14</xdr:col>
      <xdr:colOff>0</xdr:colOff>
      <xdr:row>17</xdr:row>
      <xdr:rowOff>67733</xdr:rowOff>
    </xdr:to>
    <xdr:cxnSp macro="">
      <xdr:nvCxnSpPr>
        <xdr:cNvPr id="30" name="Straight Connector 29">
          <a:extLst>
            <a:ext uri="{FF2B5EF4-FFF2-40B4-BE49-F238E27FC236}">
              <a16:creationId xmlns:a16="http://schemas.microsoft.com/office/drawing/2014/main" id="{D536CAE6-EB4E-4541-82D0-5DC28D514783}"/>
            </a:ext>
          </a:extLst>
        </xdr:cNvPr>
        <xdr:cNvCxnSpPr/>
      </xdr:nvCxnSpPr>
      <xdr:spPr>
        <a:xfrm flipV="1">
          <a:off x="10354733" y="3462867"/>
          <a:ext cx="829734" cy="152399"/>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12</xdr:col>
      <xdr:colOff>821266</xdr:colOff>
      <xdr:row>17</xdr:row>
      <xdr:rowOff>135466</xdr:rowOff>
    </xdr:from>
    <xdr:to>
      <xdr:col>14</xdr:col>
      <xdr:colOff>16933</xdr:colOff>
      <xdr:row>25</xdr:row>
      <xdr:rowOff>169334</xdr:rowOff>
    </xdr:to>
    <xdr:cxnSp macro="">
      <xdr:nvCxnSpPr>
        <xdr:cNvPr id="32" name="Straight Connector 31">
          <a:extLst>
            <a:ext uri="{FF2B5EF4-FFF2-40B4-BE49-F238E27FC236}">
              <a16:creationId xmlns:a16="http://schemas.microsoft.com/office/drawing/2014/main" id="{85E3C5B6-D728-CA4D-AA88-4912E1B2EC27}"/>
            </a:ext>
          </a:extLst>
        </xdr:cNvPr>
        <xdr:cNvCxnSpPr/>
      </xdr:nvCxnSpPr>
      <xdr:spPr>
        <a:xfrm>
          <a:off x="10346266" y="3682999"/>
          <a:ext cx="855134" cy="1659468"/>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6</xdr:col>
      <xdr:colOff>8467</xdr:colOff>
      <xdr:row>17</xdr:row>
      <xdr:rowOff>143932</xdr:rowOff>
    </xdr:from>
    <xdr:to>
      <xdr:col>7</xdr:col>
      <xdr:colOff>16934</xdr:colOff>
      <xdr:row>23</xdr:row>
      <xdr:rowOff>152400</xdr:rowOff>
    </xdr:to>
    <xdr:cxnSp macro="">
      <xdr:nvCxnSpPr>
        <xdr:cNvPr id="34" name="Straight Connector 33">
          <a:extLst>
            <a:ext uri="{FF2B5EF4-FFF2-40B4-BE49-F238E27FC236}">
              <a16:creationId xmlns:a16="http://schemas.microsoft.com/office/drawing/2014/main" id="{1EC54CD1-7415-CA4C-8A26-5F0CC124FC42}"/>
            </a:ext>
          </a:extLst>
        </xdr:cNvPr>
        <xdr:cNvCxnSpPr/>
      </xdr:nvCxnSpPr>
      <xdr:spPr>
        <a:xfrm>
          <a:off x="4986867" y="3708399"/>
          <a:ext cx="838200" cy="1278468"/>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twoCellAnchor>
    <xdr:from>
      <xdr:col>6</xdr:col>
      <xdr:colOff>1</xdr:colOff>
      <xdr:row>17</xdr:row>
      <xdr:rowOff>76199</xdr:rowOff>
    </xdr:from>
    <xdr:to>
      <xdr:col>7</xdr:col>
      <xdr:colOff>8467</xdr:colOff>
      <xdr:row>19</xdr:row>
      <xdr:rowOff>127000</xdr:rowOff>
    </xdr:to>
    <xdr:cxnSp macro="">
      <xdr:nvCxnSpPr>
        <xdr:cNvPr id="36" name="Straight Connector 35">
          <a:extLst>
            <a:ext uri="{FF2B5EF4-FFF2-40B4-BE49-F238E27FC236}">
              <a16:creationId xmlns:a16="http://schemas.microsoft.com/office/drawing/2014/main" id="{2F5DD9E1-5278-D14A-B1A9-8520A5D19E39}"/>
            </a:ext>
          </a:extLst>
        </xdr:cNvPr>
        <xdr:cNvCxnSpPr/>
      </xdr:nvCxnSpPr>
      <xdr:spPr>
        <a:xfrm>
          <a:off x="4978401" y="3640666"/>
          <a:ext cx="838199" cy="474134"/>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AA19-B653-FD43-AE17-064D1BDF658C}">
  <dimension ref="B2:H4"/>
  <sheetViews>
    <sheetView tabSelected="1" zoomScale="150" zoomScaleNormal="150" workbookViewId="0">
      <selection activeCell="I31" sqref="I31"/>
    </sheetView>
  </sheetViews>
  <sheetFormatPr baseColWidth="10" defaultRowHeight="16" x14ac:dyDescent="0.2"/>
  <sheetData>
    <row r="2" spans="2:8" s="97" customFormat="1" ht="22" x14ac:dyDescent="0.3">
      <c r="B2" s="96" t="s">
        <v>34</v>
      </c>
    </row>
    <row r="4" spans="2:8" ht="19" customHeight="1" x14ac:dyDescent="0.2">
      <c r="B4" s="77"/>
      <c r="C4" s="77"/>
      <c r="D4" s="77"/>
      <c r="E4" s="77"/>
      <c r="F4" s="77"/>
      <c r="G4" s="77"/>
      <c r="H4" s="77"/>
    </row>
  </sheetData>
  <mergeCells count="1">
    <mergeCell ref="B4:H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60552-C27C-554C-B1EC-DC3F747B6AB1}">
  <dimension ref="B1:X40"/>
  <sheetViews>
    <sheetView zoomScale="151" zoomScaleNormal="150" workbookViewId="0">
      <selection activeCell="B20" sqref="B20"/>
    </sheetView>
  </sheetViews>
  <sheetFormatPr baseColWidth="10" defaultRowHeight="16" x14ac:dyDescent="0.2"/>
  <cols>
    <col min="2" max="2" width="22.33203125" customWidth="1"/>
    <col min="3" max="3" width="5.6640625" customWidth="1"/>
    <col min="4" max="4" width="5.5" customWidth="1"/>
    <col min="5" max="5" width="6.33203125" customWidth="1"/>
    <col min="6" max="6" width="6" customWidth="1"/>
    <col min="13" max="13" width="12" customWidth="1"/>
    <col min="15" max="15" width="4.6640625" customWidth="1"/>
    <col min="16" max="16" width="6.1640625" customWidth="1"/>
    <col min="17" max="17" width="7" customWidth="1"/>
    <col min="18" max="18" width="14.6640625" customWidth="1"/>
    <col min="19" max="19" width="14.1640625" customWidth="1"/>
    <col min="21" max="21" width="11.5" customWidth="1"/>
    <col min="22" max="22" width="13.33203125" customWidth="1"/>
  </cols>
  <sheetData>
    <row r="1" spans="2:24" s="43" customFormat="1" ht="22" x14ac:dyDescent="0.3">
      <c r="D1" s="44" t="s">
        <v>17</v>
      </c>
      <c r="E1" s="44"/>
      <c r="F1" s="44"/>
      <c r="G1" s="44"/>
      <c r="H1" s="44"/>
    </row>
    <row r="2" spans="2:24" x14ac:dyDescent="0.2">
      <c r="N2" s="7"/>
      <c r="O2" s="7"/>
    </row>
    <row r="3" spans="2:24" s="15" customFormat="1" ht="22" x14ac:dyDescent="0.3">
      <c r="C3" s="15" t="s">
        <v>35</v>
      </c>
      <c r="G3" s="15" t="s">
        <v>36</v>
      </c>
      <c r="N3" s="42"/>
      <c r="O3" s="42"/>
      <c r="P3" s="15" t="s">
        <v>37</v>
      </c>
    </row>
    <row r="6" spans="2:24" ht="17" thickBot="1" x14ac:dyDescent="0.25">
      <c r="K6" s="23"/>
      <c r="L6" s="23"/>
      <c r="M6" s="23"/>
    </row>
    <row r="7" spans="2:24" ht="52" customHeight="1" x14ac:dyDescent="0.25">
      <c r="B7" s="74" t="s">
        <v>38</v>
      </c>
      <c r="C7" s="74"/>
      <c r="D7" s="74"/>
      <c r="E7" s="74"/>
      <c r="G7" s="16"/>
      <c r="H7" s="50" t="s">
        <v>14</v>
      </c>
      <c r="I7" s="50"/>
      <c r="J7" s="50" t="s">
        <v>15</v>
      </c>
      <c r="K7" s="51"/>
      <c r="L7" s="51"/>
      <c r="M7" s="51" t="s">
        <v>12</v>
      </c>
      <c r="N7" s="50"/>
      <c r="O7" s="52"/>
      <c r="P7" s="53"/>
      <c r="Q7" s="50" t="s">
        <v>16</v>
      </c>
      <c r="R7" s="50"/>
      <c r="S7" s="17"/>
      <c r="T7" s="17"/>
      <c r="U7" s="50" t="s">
        <v>13</v>
      </c>
      <c r="V7" s="17"/>
      <c r="W7" s="17"/>
      <c r="X7" s="18"/>
    </row>
    <row r="8" spans="2:24" x14ac:dyDescent="0.2">
      <c r="B8" s="31" t="s">
        <v>39</v>
      </c>
      <c r="C8" s="46" t="str">
        <f>"p="</f>
        <v>p=</v>
      </c>
      <c r="D8" s="45">
        <v>5</v>
      </c>
      <c r="E8" s="45">
        <v>4</v>
      </c>
      <c r="G8" s="19"/>
      <c r="O8" s="20"/>
      <c r="P8" s="19"/>
      <c r="Q8" s="85"/>
      <c r="R8" s="85"/>
      <c r="S8" s="85"/>
      <c r="T8" s="85"/>
      <c r="U8" s="85"/>
      <c r="V8" s="85"/>
      <c r="W8" s="85"/>
      <c r="X8" s="20"/>
    </row>
    <row r="9" spans="2:24" x14ac:dyDescent="0.2">
      <c r="B9" s="47" t="s">
        <v>40</v>
      </c>
      <c r="C9" s="48" t="str">
        <f>"q="</f>
        <v>q=</v>
      </c>
      <c r="D9" s="45">
        <v>7</v>
      </c>
      <c r="E9" s="45">
        <v>5</v>
      </c>
      <c r="G9" s="19"/>
      <c r="O9" s="20"/>
      <c r="P9" s="19"/>
      <c r="Q9" s="85"/>
      <c r="R9" s="85"/>
      <c r="S9" s="85"/>
      <c r="T9" s="85"/>
      <c r="U9" s="85"/>
      <c r="V9" s="85"/>
      <c r="W9" s="85"/>
      <c r="X9" s="20"/>
    </row>
    <row r="10" spans="2:24" x14ac:dyDescent="0.2">
      <c r="B10" s="32" t="s">
        <v>41</v>
      </c>
      <c r="C10" s="49" t="str">
        <f>"r="</f>
        <v>r=</v>
      </c>
      <c r="D10" s="45">
        <v>2</v>
      </c>
      <c r="E10" s="45">
        <v>11</v>
      </c>
      <c r="G10" s="19"/>
      <c r="O10" s="20"/>
      <c r="P10" s="19"/>
      <c r="Q10" s="85"/>
      <c r="R10" s="85"/>
      <c r="S10" s="85"/>
      <c r="T10" s="85"/>
      <c r="U10" s="85"/>
      <c r="V10" s="85"/>
      <c r="W10" s="85"/>
      <c r="X10" s="20"/>
    </row>
    <row r="11" spans="2:24" x14ac:dyDescent="0.2">
      <c r="B11" s="8"/>
      <c r="C11" s="73"/>
      <c r="D11" s="89"/>
      <c r="E11" s="89"/>
      <c r="G11" s="11"/>
      <c r="O11" s="20"/>
      <c r="P11" s="19"/>
      <c r="Q11" s="85"/>
      <c r="R11" s="85"/>
      <c r="S11" s="85"/>
      <c r="T11" s="85"/>
      <c r="U11" s="85"/>
      <c r="V11" s="85"/>
      <c r="W11" s="85"/>
      <c r="X11" s="20"/>
    </row>
    <row r="12" spans="2:24" x14ac:dyDescent="0.2">
      <c r="G12" s="75" t="s">
        <v>46</v>
      </c>
      <c r="H12" s="76"/>
      <c r="J12" s="8" t="s">
        <v>44</v>
      </c>
      <c r="K12" s="8" t="s">
        <v>45</v>
      </c>
      <c r="M12" s="8" t="s">
        <v>44</v>
      </c>
      <c r="N12" s="8" t="s">
        <v>45</v>
      </c>
      <c r="O12" s="20"/>
      <c r="P12" s="75" t="s">
        <v>46</v>
      </c>
      <c r="Q12" s="82"/>
      <c r="R12" s="86" t="s">
        <v>44</v>
      </c>
      <c r="S12" s="86" t="s">
        <v>45</v>
      </c>
      <c r="T12" s="85"/>
      <c r="U12" s="85"/>
      <c r="V12" s="85"/>
      <c r="W12" s="85"/>
      <c r="X12" s="20"/>
    </row>
    <row r="13" spans="2:24" x14ac:dyDescent="0.2">
      <c r="G13" s="30" t="s">
        <v>42</v>
      </c>
      <c r="H13" s="54" t="s">
        <v>0</v>
      </c>
      <c r="I13" s="30" t="s">
        <v>42</v>
      </c>
      <c r="J13" s="62" t="s">
        <v>1</v>
      </c>
      <c r="K13" s="63" t="s">
        <v>2</v>
      </c>
      <c r="L13" s="30" t="s">
        <v>42</v>
      </c>
      <c r="M13" s="58" t="s">
        <v>3</v>
      </c>
      <c r="N13" s="59" t="s">
        <v>4</v>
      </c>
      <c r="O13" s="29"/>
      <c r="P13" s="19"/>
      <c r="Q13" s="85"/>
      <c r="R13" s="83" t="s">
        <v>10</v>
      </c>
      <c r="S13" s="84" t="s">
        <v>11</v>
      </c>
      <c r="T13" s="85"/>
      <c r="U13" s="83" t="s">
        <v>49</v>
      </c>
      <c r="V13" s="84" t="s">
        <v>51</v>
      </c>
      <c r="W13" s="85"/>
      <c r="X13" s="20"/>
    </row>
    <row r="14" spans="2:24" x14ac:dyDescent="0.2">
      <c r="G14" s="30" t="s">
        <v>43</v>
      </c>
      <c r="H14" s="55" t="s">
        <v>5</v>
      </c>
      <c r="I14" s="30" t="s">
        <v>43</v>
      </c>
      <c r="J14" s="64" t="s">
        <v>6</v>
      </c>
      <c r="K14" s="65" t="s">
        <v>7</v>
      </c>
      <c r="L14" s="30" t="s">
        <v>43</v>
      </c>
      <c r="M14" s="60" t="s">
        <v>8</v>
      </c>
      <c r="N14" s="61" t="s">
        <v>9</v>
      </c>
      <c r="O14" s="29"/>
      <c r="P14" s="19"/>
      <c r="Q14" s="85"/>
      <c r="R14" s="85"/>
      <c r="S14" s="85"/>
      <c r="T14" s="85"/>
      <c r="U14" s="83" t="s">
        <v>50</v>
      </c>
      <c r="V14" s="84" t="s">
        <v>52</v>
      </c>
      <c r="W14" s="85"/>
      <c r="X14" s="20"/>
    </row>
    <row r="15" spans="2:24" x14ac:dyDescent="0.2">
      <c r="G15" s="30"/>
      <c r="H15" s="8"/>
      <c r="I15" s="8"/>
      <c r="J15" s="8"/>
      <c r="K15" s="8"/>
      <c r="L15" s="8"/>
      <c r="O15" s="29"/>
      <c r="P15" s="19"/>
      <c r="Q15" s="85"/>
      <c r="R15" s="85"/>
      <c r="S15" s="85"/>
      <c r="T15" s="85"/>
      <c r="U15" s="85"/>
      <c r="V15" s="85"/>
      <c r="W15" s="85"/>
      <c r="X15" s="20"/>
    </row>
    <row r="16" spans="2:24" s="9" customFormat="1" x14ac:dyDescent="0.2">
      <c r="G16" s="75" t="s">
        <v>47</v>
      </c>
      <c r="H16" s="76"/>
      <c r="M16"/>
      <c r="N16"/>
      <c r="O16" s="27"/>
      <c r="P16" s="75" t="s">
        <v>47</v>
      </c>
      <c r="Q16" s="82"/>
      <c r="R16" s="86" t="s">
        <v>44</v>
      </c>
      <c r="S16" s="86" t="s">
        <v>45</v>
      </c>
      <c r="T16" s="87"/>
      <c r="U16" s="86" t="s">
        <v>44</v>
      </c>
      <c r="V16" s="86" t="s">
        <v>45</v>
      </c>
      <c r="W16" s="87"/>
      <c r="X16" s="27"/>
    </row>
    <row r="17" spans="6:24" x14ac:dyDescent="0.2">
      <c r="G17" s="30" t="s">
        <v>42</v>
      </c>
      <c r="H17" s="56" cm="1">
        <f t="array" ref="H17:H18">TRANSPOSE(p_p/SUM(p_p))</f>
        <v>0.55555555555555558</v>
      </c>
      <c r="I17" s="30" t="s">
        <v>42</v>
      </c>
      <c r="J17" s="66" cm="1">
        <f t="array" ref="J17:K17">q_p/SUM(q_p)</f>
        <v>0.58333333333333337</v>
      </c>
      <c r="K17" s="67">
        <v>0.41666666666666669</v>
      </c>
      <c r="L17" s="30" t="s">
        <v>42</v>
      </c>
      <c r="M17" s="78" cm="1">
        <f t="array" ref="M17:N18">_xlfn.HSTACK(_xlfn.ANCHORARRAY(H17),_xlfn.ANCHORARRAY(H17))*J17:K18</f>
        <v>0.32407407407407413</v>
      </c>
      <c r="N17" s="79">
        <v>0.23148148148148151</v>
      </c>
      <c r="O17" s="20"/>
      <c r="P17" s="19"/>
      <c r="Q17" s="85"/>
      <c r="R17" s="90" cm="1">
        <f t="array" ref="R17:S17">MMULT(TRANSPOSE(H17:H18),J17:K18)</f>
        <v>0.39245014245014254</v>
      </c>
      <c r="S17" s="91">
        <v>0.60754985754985757</v>
      </c>
      <c r="T17" s="86" t="s">
        <v>42</v>
      </c>
      <c r="U17" s="92" cm="1">
        <f t="array" ref="U17:V18">_xlfn.ANCHORARRAY(M17) /_xlfn.CHOOSEROWS(_xlfn.ANCHORARRAY(R17),_xlfn.SEQUENCE(2,1,1,0))</f>
        <v>0.82577132486388383</v>
      </c>
      <c r="V17" s="93">
        <v>0.3810082063305979</v>
      </c>
      <c r="W17" s="85"/>
      <c r="X17" s="20"/>
    </row>
    <row r="18" spans="6:24" x14ac:dyDescent="0.2">
      <c r="G18" s="30" t="s">
        <v>43</v>
      </c>
      <c r="H18" s="57">
        <v>0.44444444444444442</v>
      </c>
      <c r="I18" s="30" t="s">
        <v>43</v>
      </c>
      <c r="J18" s="68" cm="1">
        <f t="array" ref="J18:K18">r_p/SUM(r_p)</f>
        <v>0.15384615384615385</v>
      </c>
      <c r="K18" s="61">
        <v>0.84615384615384615</v>
      </c>
      <c r="L18" s="30" t="s">
        <v>43</v>
      </c>
      <c r="M18" s="80">
        <v>6.8376068376068383E-2</v>
      </c>
      <c r="N18" s="81">
        <v>0.37606837606837606</v>
      </c>
      <c r="O18" s="20"/>
      <c r="P18" s="19"/>
      <c r="Q18" s="85"/>
      <c r="R18" s="85"/>
      <c r="S18" s="85"/>
      <c r="T18" s="86" t="s">
        <v>43</v>
      </c>
      <c r="U18" s="94">
        <v>0.17422867513611615</v>
      </c>
      <c r="V18" s="95">
        <v>0.61899179366940205</v>
      </c>
      <c r="W18" s="85"/>
      <c r="X18" s="20"/>
    </row>
    <row r="19" spans="6:24" x14ac:dyDescent="0.2">
      <c r="G19" s="19"/>
      <c r="M19" t="s">
        <v>33</v>
      </c>
      <c r="N19">
        <f>SUM(_xlfn.ANCHORARRAY(M17))</f>
        <v>1</v>
      </c>
      <c r="O19" s="20"/>
      <c r="P19" s="19"/>
      <c r="Q19" s="85"/>
      <c r="R19" s="85"/>
      <c r="S19" s="85"/>
      <c r="T19" s="88"/>
      <c r="U19" s="87"/>
      <c r="V19" s="87"/>
      <c r="W19" s="85"/>
      <c r="X19" s="20"/>
    </row>
    <row r="20" spans="6:24" ht="17" customHeight="1" x14ac:dyDescent="0.2">
      <c r="G20" s="75" t="s">
        <v>48</v>
      </c>
      <c r="H20" s="82"/>
      <c r="O20" s="20"/>
      <c r="P20" s="75" t="s">
        <v>48</v>
      </c>
      <c r="Q20" s="82"/>
      <c r="R20" s="85"/>
      <c r="S20" s="85"/>
      <c r="T20" s="85"/>
      <c r="U20" s="85"/>
      <c r="V20" s="85"/>
      <c r="W20" s="85"/>
      <c r="X20" s="20"/>
    </row>
    <row r="21" spans="6:24" x14ac:dyDescent="0.2">
      <c r="F21" s="10"/>
      <c r="G21" s="19"/>
      <c r="H21" s="69" t="str">
        <f>"P( C ) ="&amp; ROUND(H17,3)</f>
        <v>P( C ) =0.556</v>
      </c>
      <c r="J21" s="58" t="str">
        <f>"P( T| C )= "&amp; ROUND(J17,3)</f>
        <v>P( T| C )= 0.583</v>
      </c>
      <c r="K21" s="59"/>
      <c r="O21" s="20"/>
      <c r="P21" s="19"/>
      <c r="Q21" s="85"/>
      <c r="R21" s="69" t="str">
        <f>"P( T ) ="&amp; ROUND(R17,3)</f>
        <v>P( T ) =0.392</v>
      </c>
      <c r="S21" s="85"/>
      <c r="T21" s="85"/>
      <c r="U21" s="58" t="str">
        <f>"P( C| T  )= "&amp; ROUND(U17,3)</f>
        <v>P( C| T  )= 0.826</v>
      </c>
      <c r="V21" s="59"/>
      <c r="W21" s="85"/>
      <c r="X21" s="20"/>
    </row>
    <row r="22" spans="6:24" x14ac:dyDescent="0.2">
      <c r="F22" s="10"/>
      <c r="G22" s="19"/>
      <c r="H22" s="70" t="str">
        <f>"P( C' )= "&amp; ROUND(H18,3)</f>
        <v>P( C' )= 0.444</v>
      </c>
      <c r="J22" s="71" t="str">
        <f>"P( T' | C )=  "&amp; ROUND(K17,3)</f>
        <v>P( T' | C )=  0.417</v>
      </c>
      <c r="K22" s="72"/>
      <c r="O22" s="28"/>
      <c r="P22" s="19"/>
      <c r="Q22" s="85"/>
      <c r="R22" s="70" t="str">
        <f>"P( T' )= "&amp; ROUND(S17,3)</f>
        <v>P( T' )= 0.608</v>
      </c>
      <c r="S22" s="85"/>
      <c r="T22" s="85"/>
      <c r="U22" s="71" t="str">
        <f>"P(  C' | T ) = "&amp; ROUND(U18,3)</f>
        <v>P(  C' | T ) = 0.174</v>
      </c>
      <c r="V22" s="72"/>
      <c r="W22" s="85"/>
      <c r="X22" s="20"/>
    </row>
    <row r="23" spans="6:24" x14ac:dyDescent="0.2">
      <c r="F23" s="10"/>
      <c r="G23" s="19"/>
      <c r="J23" s="71" t="str">
        <f>"P( T | C' ) = "&amp; ROUND(J18,3)</f>
        <v>P( T | C' ) = 0.154</v>
      </c>
      <c r="K23" s="72"/>
      <c r="O23" s="20"/>
      <c r="P23" s="19"/>
      <c r="Q23" s="85"/>
      <c r="R23" s="85"/>
      <c r="S23" s="85"/>
      <c r="T23" s="85"/>
      <c r="U23" s="71" t="str">
        <f>"P( C | T'  )=  "&amp; ROUND(V17,3)</f>
        <v>P( C | T'  )=  0.381</v>
      </c>
      <c r="V23" s="72"/>
      <c r="W23" s="85"/>
      <c r="X23" s="20"/>
    </row>
    <row r="24" spans="6:24" x14ac:dyDescent="0.2">
      <c r="G24" s="19"/>
      <c r="J24" s="60" t="str">
        <f>"P( T' | C' ) = "&amp; ROUND(K18,3)</f>
        <v>P( T' | C' ) = 0.846</v>
      </c>
      <c r="K24" s="61"/>
      <c r="O24" s="20"/>
      <c r="P24" s="19"/>
      <c r="Q24" s="85"/>
      <c r="R24" s="85"/>
      <c r="S24" s="85"/>
      <c r="T24" s="85"/>
      <c r="U24" s="60" t="str">
        <f>"P( C' | T' ) = "&amp; ROUND(V18,3)</f>
        <v>P( C' | T' ) = 0.619</v>
      </c>
      <c r="V24" s="61"/>
      <c r="W24" s="85"/>
      <c r="X24" s="20"/>
    </row>
    <row r="25" spans="6:24" x14ac:dyDescent="0.2">
      <c r="G25" s="19"/>
      <c r="L25" s="8"/>
      <c r="O25" s="20"/>
      <c r="P25" s="30"/>
      <c r="Q25" s="85"/>
      <c r="R25" s="85"/>
      <c r="S25" s="85"/>
      <c r="T25" s="85"/>
      <c r="U25" s="85"/>
      <c r="V25" s="85"/>
      <c r="W25" s="85"/>
      <c r="X25" s="20"/>
    </row>
    <row r="26" spans="6:24" x14ac:dyDescent="0.2">
      <c r="G26" s="19"/>
      <c r="L26" s="8"/>
      <c r="O26" s="20"/>
      <c r="P26" s="30"/>
      <c r="Q26" s="85"/>
      <c r="R26" s="85"/>
      <c r="S26" s="85"/>
      <c r="T26" s="85"/>
      <c r="U26" s="85"/>
      <c r="V26" s="85"/>
      <c r="W26" s="85"/>
      <c r="X26" s="20"/>
    </row>
    <row r="27" spans="6:24" x14ac:dyDescent="0.2">
      <c r="G27" s="19"/>
      <c r="O27" s="20"/>
      <c r="P27" s="19"/>
      <c r="Q27" s="85"/>
      <c r="R27" s="85"/>
      <c r="S27" s="85"/>
      <c r="T27" s="85"/>
      <c r="U27" s="85"/>
      <c r="V27" s="85"/>
      <c r="W27" s="85"/>
      <c r="X27" s="20"/>
    </row>
    <row r="28" spans="6:24" x14ac:dyDescent="0.2">
      <c r="G28" s="19"/>
      <c r="O28" s="20"/>
      <c r="P28" s="19"/>
      <c r="Q28" s="85"/>
      <c r="R28" s="85"/>
      <c r="S28" s="85"/>
      <c r="T28" s="85"/>
      <c r="U28" s="85"/>
      <c r="V28" s="85"/>
      <c r="W28" s="85"/>
      <c r="X28" s="20"/>
    </row>
    <row r="29" spans="6:24" x14ac:dyDescent="0.2">
      <c r="G29" s="19"/>
      <c r="O29" s="20"/>
      <c r="P29" s="19"/>
      <c r="Q29" s="85"/>
      <c r="R29" s="85"/>
      <c r="S29" s="85"/>
      <c r="T29" s="85"/>
      <c r="U29" s="85"/>
      <c r="V29" s="85"/>
      <c r="W29" s="85"/>
      <c r="X29" s="20"/>
    </row>
    <row r="30" spans="6:24" x14ac:dyDescent="0.2">
      <c r="G30" s="19"/>
      <c r="O30" s="20"/>
      <c r="P30" s="19"/>
      <c r="Q30" s="85"/>
      <c r="R30" s="85"/>
      <c r="S30" s="85"/>
      <c r="T30" s="85"/>
      <c r="U30" s="85"/>
      <c r="V30" s="85"/>
      <c r="W30" s="85"/>
      <c r="X30" s="20"/>
    </row>
    <row r="31" spans="6:24" x14ac:dyDescent="0.2">
      <c r="G31" s="19"/>
      <c r="O31" s="20"/>
      <c r="P31" s="19"/>
      <c r="Q31" s="85"/>
      <c r="R31" s="85"/>
      <c r="S31" s="85"/>
      <c r="T31" s="85"/>
      <c r="U31" s="85"/>
      <c r="V31" s="85"/>
      <c r="W31" s="85"/>
      <c r="X31" s="20"/>
    </row>
    <row r="32" spans="6:24" x14ac:dyDescent="0.2">
      <c r="G32" s="19"/>
      <c r="O32" s="20"/>
      <c r="P32" s="19"/>
      <c r="Q32" s="85"/>
      <c r="R32" s="85"/>
      <c r="S32" s="85"/>
      <c r="T32" s="85"/>
      <c r="U32" s="85"/>
      <c r="V32" s="85"/>
      <c r="W32" s="85"/>
      <c r="X32" s="20"/>
    </row>
    <row r="33" spans="7:24" x14ac:dyDescent="0.2">
      <c r="G33" s="19"/>
      <c r="O33" s="20"/>
      <c r="P33" s="19"/>
      <c r="Q33" s="85"/>
      <c r="R33" s="85"/>
      <c r="S33" s="85"/>
      <c r="T33" s="85"/>
      <c r="U33" s="85"/>
      <c r="V33" s="85"/>
      <c r="W33" s="85"/>
      <c r="X33" s="20"/>
    </row>
    <row r="34" spans="7:24" x14ac:dyDescent="0.2">
      <c r="G34" s="19"/>
      <c r="O34" s="20"/>
      <c r="P34" s="19"/>
      <c r="Q34" s="85"/>
      <c r="R34" s="85"/>
      <c r="S34" s="85"/>
      <c r="T34" s="85"/>
      <c r="U34" s="85"/>
      <c r="V34" s="85"/>
      <c r="W34" s="85"/>
      <c r="X34" s="20"/>
    </row>
    <row r="35" spans="7:24" x14ac:dyDescent="0.2">
      <c r="G35" s="19"/>
      <c r="O35" s="20"/>
      <c r="P35" s="19"/>
      <c r="Q35" s="85"/>
      <c r="R35" s="85"/>
      <c r="S35" s="85"/>
      <c r="T35" s="85"/>
      <c r="U35" s="85"/>
      <c r="V35" s="85"/>
      <c r="W35" s="85"/>
      <c r="X35" s="20"/>
    </row>
    <row r="36" spans="7:24" x14ac:dyDescent="0.2">
      <c r="G36" s="19"/>
      <c r="O36" s="20"/>
      <c r="P36" s="19"/>
      <c r="Q36" s="85"/>
      <c r="R36" s="85"/>
      <c r="S36" s="85"/>
      <c r="T36" s="85"/>
      <c r="U36" s="85"/>
      <c r="V36" s="85"/>
      <c r="W36" s="85"/>
      <c r="X36" s="20"/>
    </row>
    <row r="37" spans="7:24" x14ac:dyDescent="0.2">
      <c r="G37" s="19"/>
      <c r="O37" s="20"/>
      <c r="P37" s="19"/>
      <c r="Q37" s="85"/>
      <c r="R37" s="85"/>
      <c r="S37" s="85"/>
      <c r="T37" s="85"/>
      <c r="U37" s="85"/>
      <c r="V37" s="85"/>
      <c r="W37" s="85"/>
      <c r="X37" s="20"/>
    </row>
    <row r="38" spans="7:24" x14ac:dyDescent="0.2">
      <c r="G38" s="19"/>
      <c r="O38" s="20"/>
      <c r="P38" s="19"/>
      <c r="Q38" s="85"/>
      <c r="R38" s="85"/>
      <c r="S38" s="85"/>
      <c r="T38" s="85"/>
      <c r="U38" s="85"/>
      <c r="V38" s="85"/>
      <c r="W38" s="85"/>
      <c r="X38" s="20"/>
    </row>
    <row r="39" spans="7:24" ht="17" thickBot="1" x14ac:dyDescent="0.25">
      <c r="G39" s="19"/>
      <c r="O39" s="20"/>
      <c r="P39" s="22"/>
      <c r="Q39" s="23"/>
      <c r="R39" s="23"/>
      <c r="S39" s="23"/>
      <c r="T39" s="23"/>
      <c r="U39" s="23"/>
      <c r="V39" s="23"/>
      <c r="W39" s="23"/>
      <c r="X39" s="24"/>
    </row>
    <row r="40" spans="7:24" ht="17" thickBot="1" x14ac:dyDescent="0.25">
      <c r="G40" s="22"/>
      <c r="H40" s="23"/>
      <c r="I40" s="23"/>
      <c r="J40" s="23"/>
      <c r="K40" s="23"/>
      <c r="L40" s="23"/>
      <c r="M40" s="23"/>
      <c r="N40" s="23"/>
      <c r="O40" s="24"/>
      <c r="P40" s="22"/>
      <c r="Q40" s="23"/>
      <c r="R40" s="23"/>
      <c r="S40" s="23"/>
      <c r="T40" s="23"/>
      <c r="U40" s="23"/>
      <c r="V40" s="23"/>
      <c r="W40" s="23"/>
      <c r="X40" s="24"/>
    </row>
  </sheetData>
  <mergeCells count="7">
    <mergeCell ref="B7:E7"/>
    <mergeCell ref="G12:H12"/>
    <mergeCell ref="G16:H16"/>
    <mergeCell ref="G20:H20"/>
    <mergeCell ref="P20:Q20"/>
    <mergeCell ref="P16:Q16"/>
    <mergeCell ref="P12:Q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E8AA8-B8CC-3446-B518-2B57C92B8454}">
  <dimension ref="B1:R24"/>
  <sheetViews>
    <sheetView zoomScale="150" zoomScaleNormal="150" workbookViewId="0">
      <selection activeCell="N27" sqref="N27"/>
    </sheetView>
  </sheetViews>
  <sheetFormatPr baseColWidth="10" defaultRowHeight="16" x14ac:dyDescent="0.2"/>
  <cols>
    <col min="11" max="11" width="3" customWidth="1"/>
    <col min="18" max="18" width="3" customWidth="1"/>
  </cols>
  <sheetData>
    <row r="1" spans="2:18" s="96" customFormat="1" ht="22" x14ac:dyDescent="0.3">
      <c r="B1" s="96" t="s">
        <v>18</v>
      </c>
    </row>
    <row r="2" spans="2:18" ht="17" thickBot="1" x14ac:dyDescent="0.25"/>
    <row r="3" spans="2:18" x14ac:dyDescent="0.2">
      <c r="B3" s="13" t="s">
        <v>54</v>
      </c>
      <c r="C3" s="13"/>
      <c r="F3" s="16" t="s">
        <v>19</v>
      </c>
      <c r="G3" s="17"/>
      <c r="H3" s="17"/>
      <c r="I3" s="17"/>
      <c r="J3" s="17"/>
      <c r="K3" s="18"/>
      <c r="L3" s="16"/>
      <c r="M3" s="17" t="s">
        <v>20</v>
      </c>
      <c r="N3" s="17"/>
      <c r="O3" s="17"/>
      <c r="P3" s="17"/>
      <c r="Q3" s="17"/>
      <c r="R3" s="18"/>
    </row>
    <row r="4" spans="2:18" x14ac:dyDescent="0.2">
      <c r="B4" s="3" t="s">
        <v>58</v>
      </c>
      <c r="C4" s="98">
        <v>4</v>
      </c>
      <c r="F4" s="26" t="s">
        <v>22</v>
      </c>
      <c r="G4" s="87"/>
      <c r="H4" s="85"/>
      <c r="I4" s="85"/>
      <c r="J4" s="85"/>
      <c r="K4" s="20"/>
      <c r="L4" s="19"/>
      <c r="M4" s="87" t="s">
        <v>21</v>
      </c>
      <c r="N4" s="87"/>
      <c r="O4" s="85"/>
      <c r="P4" s="85"/>
      <c r="Q4" s="85"/>
      <c r="R4" s="20"/>
    </row>
    <row r="5" spans="2:18" x14ac:dyDescent="0.2">
      <c r="B5" s="11" t="s">
        <v>59</v>
      </c>
      <c r="C5" s="99">
        <v>1</v>
      </c>
      <c r="F5" s="19"/>
      <c r="G5" s="85"/>
      <c r="H5" s="85"/>
      <c r="I5" s="85"/>
      <c r="J5" s="85"/>
      <c r="K5" s="20"/>
      <c r="L5" s="19"/>
      <c r="M5" s="85"/>
      <c r="N5" s="85"/>
      <c r="O5" s="85"/>
      <c r="P5" s="85"/>
      <c r="Q5" s="85"/>
      <c r="R5" s="20"/>
    </row>
    <row r="6" spans="2:18" x14ac:dyDescent="0.2">
      <c r="B6" s="11" t="s">
        <v>60</v>
      </c>
      <c r="C6" s="99">
        <v>1</v>
      </c>
      <c r="F6" s="19"/>
      <c r="G6" s="85"/>
      <c r="H6" s="85"/>
      <c r="I6" s="85"/>
      <c r="J6" s="85"/>
      <c r="K6" s="20"/>
      <c r="L6" s="19"/>
      <c r="M6" s="85"/>
      <c r="N6" s="85"/>
      <c r="O6" s="85"/>
      <c r="P6" s="85"/>
      <c r="Q6" s="85"/>
      <c r="R6" s="20"/>
    </row>
    <row r="7" spans="2:18" x14ac:dyDescent="0.2">
      <c r="B7" s="5" t="s">
        <v>61</v>
      </c>
      <c r="C7" s="100">
        <v>14</v>
      </c>
      <c r="F7" s="19"/>
      <c r="G7" s="85"/>
      <c r="H7" s="85"/>
      <c r="I7" s="85"/>
      <c r="J7" s="85"/>
      <c r="K7" s="20"/>
      <c r="L7" s="19"/>
      <c r="M7" s="85"/>
      <c r="N7" s="85"/>
      <c r="O7" s="85"/>
      <c r="P7" s="85"/>
      <c r="Q7" s="85"/>
      <c r="R7" s="20"/>
    </row>
    <row r="8" spans="2:18" x14ac:dyDescent="0.2">
      <c r="F8" s="19"/>
      <c r="G8" s="85"/>
      <c r="H8" s="85"/>
      <c r="I8" s="85"/>
      <c r="J8" s="85"/>
      <c r="K8" s="20"/>
      <c r="L8" s="19"/>
      <c r="M8" s="85"/>
      <c r="N8" s="85"/>
      <c r="O8" s="85"/>
      <c r="P8" s="85"/>
      <c r="Q8" s="85"/>
      <c r="R8" s="20"/>
    </row>
    <row r="9" spans="2:18" x14ac:dyDescent="0.2">
      <c r="B9" s="13" t="s">
        <v>55</v>
      </c>
      <c r="C9" s="13"/>
      <c r="F9" s="19"/>
      <c r="G9" s="85"/>
      <c r="H9" s="85"/>
      <c r="I9" s="85"/>
      <c r="J9" s="85"/>
      <c r="K9" s="20"/>
      <c r="L9" s="19"/>
      <c r="M9" s="85"/>
      <c r="N9" s="85"/>
      <c r="O9" s="85"/>
      <c r="P9" s="85"/>
      <c r="Q9" s="85"/>
      <c r="R9" s="20"/>
    </row>
    <row r="10" spans="2:18" x14ac:dyDescent="0.2">
      <c r="B10" t="s">
        <v>71</v>
      </c>
      <c r="F10" s="19"/>
      <c r="G10" s="85"/>
      <c r="H10" s="85"/>
      <c r="I10" s="85"/>
      <c r="J10" s="85"/>
      <c r="K10" s="20"/>
      <c r="L10" s="19"/>
      <c r="M10" s="85"/>
      <c r="N10" s="85"/>
      <c r="O10" s="85"/>
      <c r="P10" s="85"/>
      <c r="Q10" s="85"/>
      <c r="R10" s="20"/>
    </row>
    <row r="11" spans="2:18" x14ac:dyDescent="0.2">
      <c r="B11" s="3" t="s">
        <v>42</v>
      </c>
      <c r="C11" s="4" cm="1">
        <f t="array" ref="C11:C12">BayesRule!H17:H18</f>
        <v>0.55555555555555558</v>
      </c>
      <c r="F11" s="19"/>
      <c r="G11" s="85"/>
      <c r="H11" s="85"/>
      <c r="I11" s="85"/>
      <c r="J11" s="85"/>
      <c r="K11" s="20"/>
      <c r="L11" s="19"/>
      <c r="M11" s="85"/>
      <c r="N11" s="85"/>
      <c r="O11" s="85"/>
      <c r="P11" s="85"/>
      <c r="Q11" s="85"/>
      <c r="R11" s="20"/>
    </row>
    <row r="12" spans="2:18" x14ac:dyDescent="0.2">
      <c r="B12" s="5" t="s">
        <v>43</v>
      </c>
      <c r="C12" s="6">
        <v>0.44444444444444442</v>
      </c>
      <c r="F12" s="19"/>
      <c r="G12" s="85"/>
      <c r="H12" s="85"/>
      <c r="I12" s="85"/>
      <c r="J12" s="85"/>
      <c r="K12" s="20"/>
      <c r="L12" s="19"/>
      <c r="M12" s="85"/>
      <c r="N12" s="85"/>
      <c r="O12" s="85"/>
      <c r="P12" s="85"/>
      <c r="Q12" s="85"/>
      <c r="R12" s="20"/>
    </row>
    <row r="13" spans="2:18" x14ac:dyDescent="0.2">
      <c r="F13" s="19"/>
      <c r="G13" s="85"/>
      <c r="H13" s="85"/>
      <c r="I13" s="85"/>
      <c r="J13" s="85"/>
      <c r="K13" s="20"/>
      <c r="L13" s="19"/>
      <c r="M13" s="85"/>
      <c r="N13" s="85"/>
      <c r="O13" s="85"/>
      <c r="P13" s="85"/>
      <c r="Q13" s="85"/>
      <c r="R13" s="20"/>
    </row>
    <row r="14" spans="2:18" x14ac:dyDescent="0.2">
      <c r="F14" s="110" t="s">
        <v>66</v>
      </c>
      <c r="G14" s="111"/>
      <c r="H14" s="111"/>
      <c r="I14" s="111" t="s">
        <v>65</v>
      </c>
      <c r="J14" s="111"/>
      <c r="K14" s="20"/>
      <c r="L14" s="19"/>
      <c r="M14" s="111" t="s">
        <v>67</v>
      </c>
      <c r="N14" s="111"/>
      <c r="O14" s="111"/>
      <c r="P14" s="111" t="s">
        <v>68</v>
      </c>
      <c r="Q14" s="111"/>
      <c r="R14" s="20"/>
    </row>
    <row r="15" spans="2:18" x14ac:dyDescent="0.2">
      <c r="B15" s="101" t="s">
        <v>23</v>
      </c>
      <c r="F15" s="19"/>
      <c r="G15" s="85"/>
      <c r="H15" s="85"/>
      <c r="I15" s="3" t="s">
        <v>58</v>
      </c>
      <c r="J15" s="4" cm="1">
        <f t="array" ref="J15:J16">C4:C5*_xlfn.ANCHORARRAY(C11)</f>
        <v>2.2222222222222223</v>
      </c>
      <c r="K15" s="20"/>
      <c r="L15" s="19"/>
      <c r="M15" s="85"/>
      <c r="N15" s="85"/>
      <c r="O15" s="85"/>
      <c r="P15" s="3" t="s">
        <v>58</v>
      </c>
      <c r="Q15" s="4">
        <f>C4</f>
        <v>4</v>
      </c>
      <c r="R15" s="20"/>
    </row>
    <row r="16" spans="2:18" ht="17" thickBot="1" x14ac:dyDescent="0.25">
      <c r="B16" s="102">
        <f>N17-G17</f>
        <v>1.6666666666666661</v>
      </c>
      <c r="F16" s="19"/>
      <c r="G16" s="85"/>
      <c r="H16" s="85"/>
      <c r="I16" s="11" t="s">
        <v>59</v>
      </c>
      <c r="J16" s="33">
        <v>0.44444444444444442</v>
      </c>
      <c r="K16" s="20"/>
      <c r="L16" s="19"/>
      <c r="M16" s="85"/>
      <c r="N16" s="85"/>
      <c r="O16" s="85"/>
      <c r="P16" s="11" t="s">
        <v>60</v>
      </c>
      <c r="Q16" s="109">
        <f>C6</f>
        <v>1</v>
      </c>
      <c r="R16" s="20"/>
    </row>
    <row r="17" spans="6:18" x14ac:dyDescent="0.2">
      <c r="F17" s="21" t="s">
        <v>70</v>
      </c>
      <c r="G17" s="2">
        <f>MAX(J17,J21)</f>
        <v>6.7777777777777768</v>
      </c>
      <c r="H17" s="85"/>
      <c r="I17" s="107" t="s">
        <v>56</v>
      </c>
      <c r="J17" s="6">
        <f>SUM(_xlfn.ANCHORARRAY(J15))</f>
        <v>2.666666666666667</v>
      </c>
      <c r="K17" s="20"/>
      <c r="L17" s="19"/>
      <c r="M17" s="108" t="s">
        <v>69</v>
      </c>
      <c r="N17" s="2" cm="1">
        <f t="array" ref="N17">SUM((_xlfn.ANCHORARRAY(C11)*O17:O18))</f>
        <v>8.4444444444444429</v>
      </c>
      <c r="O17" s="106">
        <f>Q17</f>
        <v>4</v>
      </c>
      <c r="P17" s="34" t="s">
        <v>62</v>
      </c>
      <c r="Q17" s="6">
        <f>MAX(Q15:Q16)</f>
        <v>4</v>
      </c>
      <c r="R17" s="20"/>
    </row>
    <row r="18" spans="6:18" x14ac:dyDescent="0.2">
      <c r="F18" s="19"/>
      <c r="G18" s="85"/>
      <c r="H18" s="85"/>
      <c r="I18" s="85"/>
      <c r="J18" s="85"/>
      <c r="K18" s="20"/>
      <c r="L18" s="19"/>
      <c r="M18" s="85"/>
      <c r="N18" s="85"/>
      <c r="O18" s="106">
        <f>Q21</f>
        <v>14</v>
      </c>
      <c r="P18" s="85"/>
      <c r="Q18" s="85"/>
      <c r="R18" s="20"/>
    </row>
    <row r="19" spans="6:18" x14ac:dyDescent="0.2">
      <c r="F19" s="19"/>
      <c r="G19" s="85"/>
      <c r="H19" s="85"/>
      <c r="I19" s="3" t="s">
        <v>60</v>
      </c>
      <c r="J19" s="4" cm="1">
        <f t="array" ref="J19:J20">C6:C7*C11:C12</f>
        <v>0.55555555555555558</v>
      </c>
      <c r="K19" s="20"/>
      <c r="L19" s="19"/>
      <c r="M19" s="85"/>
      <c r="N19" s="85"/>
      <c r="O19" s="85"/>
      <c r="P19" s="3" t="s">
        <v>63</v>
      </c>
      <c r="Q19" s="4">
        <f>C5</f>
        <v>1</v>
      </c>
      <c r="R19" s="20"/>
    </row>
    <row r="20" spans="6:18" ht="17" thickBot="1" x14ac:dyDescent="0.25">
      <c r="F20" s="19"/>
      <c r="G20" s="85"/>
      <c r="H20" s="85"/>
      <c r="I20" s="11" t="s">
        <v>61</v>
      </c>
      <c r="J20" s="33">
        <v>6.2222222222222214</v>
      </c>
      <c r="K20" s="20"/>
      <c r="L20" s="19"/>
      <c r="M20" s="85"/>
      <c r="N20" s="85"/>
      <c r="O20" s="85"/>
      <c r="P20" s="11" t="s">
        <v>61</v>
      </c>
      <c r="Q20" s="33">
        <f>C7</f>
        <v>14</v>
      </c>
      <c r="R20" s="20"/>
    </row>
    <row r="21" spans="6:18" x14ac:dyDescent="0.2">
      <c r="F21" s="19"/>
      <c r="G21" s="85"/>
      <c r="H21" s="85"/>
      <c r="I21" s="107" t="s">
        <v>57</v>
      </c>
      <c r="J21" s="6">
        <f>SUM(_xlfn.ANCHORARRAY(J19))</f>
        <v>6.7777777777777768</v>
      </c>
      <c r="K21" s="20"/>
      <c r="L21" s="19"/>
      <c r="M21" s="85"/>
      <c r="N21" s="85"/>
      <c r="O21" s="85"/>
      <c r="P21" s="34" t="s">
        <v>64</v>
      </c>
      <c r="Q21" s="6">
        <f>MAX(Q19:Q20)</f>
        <v>14</v>
      </c>
      <c r="R21" s="20"/>
    </row>
    <row r="22" spans="6:18" ht="17" thickBot="1" x14ac:dyDescent="0.25">
      <c r="F22" s="22"/>
      <c r="G22" s="23"/>
      <c r="H22" s="23"/>
      <c r="I22" s="23"/>
      <c r="J22" s="23"/>
      <c r="K22" s="24"/>
      <c r="L22" s="22"/>
      <c r="M22" s="23"/>
      <c r="N22" s="23"/>
      <c r="O22" s="23"/>
      <c r="P22" s="23"/>
      <c r="Q22" s="23"/>
      <c r="R22" s="24"/>
    </row>
    <row r="23" spans="6:18" x14ac:dyDescent="0.2">
      <c r="F23" s="85"/>
      <c r="G23" s="85"/>
      <c r="H23" s="85"/>
      <c r="I23" s="85"/>
      <c r="J23" s="85"/>
      <c r="K23" s="85"/>
      <c r="L23" s="85"/>
      <c r="M23" s="85"/>
      <c r="N23" s="85"/>
      <c r="O23" s="85"/>
      <c r="P23" s="85"/>
      <c r="Q23" s="85"/>
      <c r="R23" s="85"/>
    </row>
    <row r="24" spans="6:18" x14ac:dyDescent="0.2">
      <c r="F24" s="85"/>
      <c r="G24" s="85"/>
      <c r="H24" s="85"/>
      <c r="I24" s="85"/>
      <c r="J24" s="85"/>
      <c r="K24" s="85"/>
      <c r="L24" s="85"/>
      <c r="M24" s="85"/>
      <c r="N24" s="85"/>
      <c r="O24" s="85"/>
      <c r="P24" s="85"/>
      <c r="Q24" s="85"/>
      <c r="R24" s="8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16EA-A393-1E46-AF22-A77ED8E4E84A}">
  <dimension ref="A1:T31"/>
  <sheetViews>
    <sheetView topLeftCell="D1" zoomScale="150" zoomScaleNormal="150" workbookViewId="0">
      <selection activeCell="U7" sqref="U7"/>
    </sheetView>
  </sheetViews>
  <sheetFormatPr baseColWidth="10" defaultRowHeight="16" x14ac:dyDescent="0.2"/>
  <cols>
    <col min="10" max="10" width="5.1640625" customWidth="1"/>
    <col min="16" max="16" width="9" customWidth="1"/>
    <col min="17" max="17" width="4.1640625" customWidth="1"/>
    <col min="19" max="19" width="10.83203125" style="35"/>
    <col min="20" max="20" width="3.33203125" customWidth="1"/>
    <col min="22" max="22" width="5" customWidth="1"/>
  </cols>
  <sheetData>
    <row r="1" spans="1:20" s="96" customFormat="1" ht="22" x14ac:dyDescent="0.3">
      <c r="B1" s="96" t="s">
        <v>24</v>
      </c>
      <c r="S1" s="105"/>
    </row>
    <row r="2" spans="1:20" ht="17" thickBot="1" x14ac:dyDescent="0.25"/>
    <row r="3" spans="1:20" x14ac:dyDescent="0.2">
      <c r="E3" s="16" t="s">
        <v>25</v>
      </c>
      <c r="F3" s="17"/>
      <c r="G3" s="17"/>
      <c r="H3" s="17"/>
      <c r="I3" s="17"/>
      <c r="J3" s="18"/>
      <c r="L3" s="16" t="s">
        <v>26</v>
      </c>
      <c r="M3" s="17"/>
      <c r="N3" s="17"/>
      <c r="O3" s="17"/>
      <c r="P3" s="17"/>
      <c r="Q3" s="17"/>
      <c r="R3" s="17"/>
      <c r="S3" s="113"/>
    </row>
    <row r="4" spans="1:20" x14ac:dyDescent="0.2">
      <c r="E4" s="26" t="s">
        <v>87</v>
      </c>
      <c r="F4" s="85"/>
      <c r="G4" s="85"/>
      <c r="H4" s="85"/>
      <c r="I4" s="85"/>
      <c r="J4" s="20"/>
      <c r="L4" s="26" t="s">
        <v>88</v>
      </c>
      <c r="M4" s="85"/>
      <c r="N4" s="85"/>
      <c r="O4" s="85"/>
      <c r="P4" s="85"/>
      <c r="Q4" s="85"/>
      <c r="R4" s="85"/>
      <c r="S4" s="114"/>
    </row>
    <row r="5" spans="1:20" x14ac:dyDescent="0.2">
      <c r="B5" t="s">
        <v>32</v>
      </c>
      <c r="E5" s="19" t="s">
        <v>28</v>
      </c>
      <c r="F5" s="85"/>
      <c r="G5" s="85"/>
      <c r="H5" s="85" t="s">
        <v>82</v>
      </c>
      <c r="I5" s="85"/>
      <c r="J5" s="20"/>
      <c r="L5" s="19" t="s">
        <v>86</v>
      </c>
      <c r="M5" s="85"/>
      <c r="N5" s="85"/>
      <c r="O5" s="85" t="s">
        <v>29</v>
      </c>
      <c r="P5" s="85"/>
      <c r="Q5" s="85"/>
      <c r="R5" s="85" t="s">
        <v>73</v>
      </c>
      <c r="S5" s="114"/>
      <c r="T5" s="85"/>
    </row>
    <row r="6" spans="1:20" x14ac:dyDescent="0.2">
      <c r="E6" s="19"/>
      <c r="F6" s="85"/>
      <c r="G6" s="85"/>
      <c r="H6" s="85"/>
      <c r="I6" s="85"/>
      <c r="J6" s="20"/>
      <c r="L6" s="19"/>
      <c r="M6" s="85"/>
      <c r="N6" s="85"/>
      <c r="O6" s="85"/>
      <c r="P6" s="85"/>
      <c r="Q6" s="85"/>
      <c r="R6" s="85"/>
      <c r="S6" s="114"/>
      <c r="T6" s="85"/>
    </row>
    <row r="7" spans="1:20" x14ac:dyDescent="0.2">
      <c r="B7" s="13" t="s">
        <v>81</v>
      </c>
      <c r="C7" s="13"/>
      <c r="E7" s="19"/>
      <c r="F7" s="85"/>
      <c r="G7" s="85"/>
      <c r="H7" s="85"/>
      <c r="I7" s="85"/>
      <c r="J7" s="20"/>
      <c r="L7" s="19"/>
      <c r="M7" s="85"/>
      <c r="N7" s="85"/>
      <c r="O7" s="85"/>
      <c r="P7" s="85"/>
      <c r="Q7" s="85"/>
      <c r="R7" s="85"/>
      <c r="S7" s="114"/>
      <c r="T7" s="85"/>
    </row>
    <row r="8" spans="1:20" x14ac:dyDescent="0.2">
      <c r="A8" s="86" t="s">
        <v>42</v>
      </c>
      <c r="B8" s="3"/>
      <c r="C8" s="4" cm="1">
        <f t="array" ref="C8:C9">TRANSPOSE(p_p/SUM(p_p))</f>
        <v>0.55555555555555558</v>
      </c>
      <c r="E8" s="19"/>
      <c r="F8" s="85"/>
      <c r="G8" s="85"/>
      <c r="H8" s="85"/>
      <c r="I8" s="85"/>
      <c r="J8" s="20"/>
      <c r="L8" s="19"/>
      <c r="M8" s="85"/>
      <c r="N8" s="85"/>
      <c r="O8" s="85"/>
      <c r="P8" s="85"/>
      <c r="Q8" s="85"/>
      <c r="R8" s="85"/>
      <c r="S8" s="114"/>
      <c r="T8" s="85"/>
    </row>
    <row r="9" spans="1:20" x14ac:dyDescent="0.2">
      <c r="A9" s="86" t="s">
        <v>43</v>
      </c>
      <c r="B9" s="5"/>
      <c r="C9" s="6">
        <v>0.44444444444444442</v>
      </c>
      <c r="E9" s="19"/>
      <c r="F9" s="85"/>
      <c r="G9" s="85"/>
      <c r="H9" s="85"/>
      <c r="I9" s="85"/>
      <c r="J9" s="20"/>
      <c r="L9" s="19"/>
      <c r="M9" s="85"/>
      <c r="N9" s="85"/>
      <c r="O9" s="85"/>
      <c r="P9" s="85"/>
      <c r="Q9" s="85"/>
      <c r="R9" s="85"/>
      <c r="S9" s="114"/>
      <c r="T9" s="85"/>
    </row>
    <row r="10" spans="1:20" x14ac:dyDescent="0.2">
      <c r="E10" s="19"/>
      <c r="F10" s="85"/>
      <c r="G10" s="85"/>
      <c r="H10" s="85"/>
      <c r="I10" s="85"/>
      <c r="J10" s="20"/>
      <c r="L10" s="19"/>
      <c r="M10" s="85"/>
      <c r="N10" s="85"/>
      <c r="O10" s="85"/>
      <c r="P10" s="85"/>
      <c r="Q10" s="85"/>
      <c r="R10" s="85"/>
      <c r="S10" s="114"/>
      <c r="T10" s="85"/>
    </row>
    <row r="11" spans="1:20" x14ac:dyDescent="0.2">
      <c r="E11" s="19"/>
      <c r="F11" s="85"/>
      <c r="G11" s="85"/>
      <c r="H11" s="85"/>
      <c r="I11" s="85"/>
      <c r="J11" s="20"/>
      <c r="L11" s="19"/>
      <c r="M11" s="85"/>
      <c r="N11" s="85"/>
      <c r="O11" s="85"/>
      <c r="P11" s="85"/>
      <c r="Q11" s="85"/>
      <c r="R11" s="85"/>
      <c r="S11" s="114"/>
      <c r="T11" s="85"/>
    </row>
    <row r="12" spans="1:20" x14ac:dyDescent="0.2">
      <c r="B12" s="13" t="s">
        <v>74</v>
      </c>
      <c r="C12" s="13"/>
      <c r="E12" s="19"/>
      <c r="F12" s="85"/>
      <c r="G12" s="85"/>
      <c r="H12" s="85"/>
      <c r="I12" s="85"/>
      <c r="J12" s="20"/>
      <c r="L12" s="19"/>
      <c r="M12" s="85"/>
      <c r="N12" s="85"/>
      <c r="O12" s="85"/>
      <c r="P12" s="85"/>
      <c r="Q12" s="85"/>
      <c r="R12" s="85"/>
      <c r="S12" s="114"/>
      <c r="T12" s="85"/>
    </row>
    <row r="13" spans="1:20" x14ac:dyDescent="0.2">
      <c r="B13" t="s">
        <v>44</v>
      </c>
      <c r="C13" t="s">
        <v>45</v>
      </c>
      <c r="E13" s="19"/>
      <c r="F13" s="85"/>
      <c r="G13" s="85"/>
      <c r="H13" s="85"/>
      <c r="I13" s="85"/>
      <c r="J13" s="20"/>
      <c r="L13" s="19"/>
      <c r="M13" s="85"/>
      <c r="N13" s="85"/>
      <c r="O13" s="85"/>
      <c r="P13" s="85"/>
      <c r="Q13" s="85"/>
      <c r="R13" s="85"/>
      <c r="S13" s="114"/>
      <c r="T13" s="85"/>
    </row>
    <row r="14" spans="1:20" x14ac:dyDescent="0.2">
      <c r="A14" s="8" t="s">
        <v>42</v>
      </c>
      <c r="B14" s="39">
        <f>BayesRule!U17</f>
        <v>0.82577132486388383</v>
      </c>
      <c r="C14" s="36">
        <f>BayesRule!V17</f>
        <v>0.3810082063305979</v>
      </c>
      <c r="E14" s="19"/>
      <c r="F14" s="85"/>
      <c r="G14" s="85"/>
      <c r="H14" s="85"/>
      <c r="I14" s="85"/>
      <c r="J14" s="20"/>
      <c r="L14" s="19"/>
      <c r="M14" s="85"/>
      <c r="N14" s="85"/>
      <c r="O14" s="85"/>
      <c r="P14" s="85"/>
      <c r="Q14" s="85"/>
      <c r="R14" s="85"/>
      <c r="S14" s="114"/>
      <c r="T14" s="85"/>
    </row>
    <row r="15" spans="1:20" x14ac:dyDescent="0.2">
      <c r="A15" s="8" t="s">
        <v>43</v>
      </c>
      <c r="B15" s="40">
        <f>BayesRule!U18</f>
        <v>0.17422867513611615</v>
      </c>
      <c r="C15" s="37">
        <f>BayesRule!V18</f>
        <v>0.61899179366940205</v>
      </c>
      <c r="E15" s="19"/>
      <c r="F15" s="85"/>
      <c r="G15" s="85"/>
      <c r="H15" s="85"/>
      <c r="I15" s="85"/>
      <c r="J15" s="20"/>
      <c r="L15" s="19"/>
      <c r="M15" s="85"/>
      <c r="N15" s="85"/>
      <c r="O15" s="85"/>
      <c r="P15" s="85"/>
      <c r="Q15" s="85"/>
      <c r="R15" s="3"/>
      <c r="S15" s="115" cm="1">
        <f t="array" ref="S15:S16">C21:C22*B14:B15</f>
        <v>3.3030852994555353</v>
      </c>
      <c r="T15" s="85"/>
    </row>
    <row r="16" spans="1:20" ht="17" thickBot="1" x14ac:dyDescent="0.25">
      <c r="E16" s="19"/>
      <c r="F16" s="85"/>
      <c r="G16" s="85"/>
      <c r="H16" s="85"/>
      <c r="I16" s="85"/>
      <c r="J16" s="20"/>
      <c r="L16" s="19"/>
      <c r="M16" s="85"/>
      <c r="N16" s="85"/>
      <c r="O16" s="85"/>
      <c r="P16" s="85"/>
      <c r="Q16" s="85"/>
      <c r="R16" s="11"/>
      <c r="S16" s="119">
        <v>0.17422867513611615</v>
      </c>
      <c r="T16" s="85"/>
    </row>
    <row r="17" spans="2:20" x14ac:dyDescent="0.2">
      <c r="B17" s="13" t="s">
        <v>53</v>
      </c>
      <c r="C17" s="13"/>
      <c r="E17" s="19"/>
      <c r="F17" s="85"/>
      <c r="G17" s="85"/>
      <c r="H17" s="85"/>
      <c r="I17" s="112"/>
      <c r="J17" s="28"/>
      <c r="K17" s="25"/>
      <c r="L17" s="19"/>
      <c r="M17" s="85"/>
      <c r="N17" s="85"/>
      <c r="O17" s="14" t="s">
        <v>76</v>
      </c>
      <c r="P17" s="38">
        <f>MAX(S17,S21)</f>
        <v>3.4773139745916515</v>
      </c>
      <c r="Q17" s="85"/>
      <c r="R17" s="107" t="s">
        <v>72</v>
      </c>
      <c r="S17" s="116">
        <f>SUM(_xlfn.ANCHORARRAY(S15))</f>
        <v>3.4773139745916515</v>
      </c>
      <c r="T17" s="85"/>
    </row>
    <row r="18" spans="2:20" x14ac:dyDescent="0.2">
      <c r="B18" s="1">
        <f>BayesRule!R17</f>
        <v>0.39245014245014254</v>
      </c>
      <c r="C18" s="2">
        <f>BayesRule!S17</f>
        <v>0.60754985754985757</v>
      </c>
      <c r="E18" s="21" t="s">
        <v>85</v>
      </c>
      <c r="F18" s="2">
        <f>MAX(I20,I24)</f>
        <v>6.7777777777777768</v>
      </c>
      <c r="G18" s="85"/>
      <c r="H18" s="3"/>
      <c r="I18" s="4" cm="1">
        <f t="array" ref="I18:I19">_xlfn.ANCHORARRAY(C8)*C21:C22</f>
        <v>2.2222222222222223</v>
      </c>
      <c r="J18" s="20"/>
      <c r="L18" s="117" t="s">
        <v>80</v>
      </c>
      <c r="M18" s="41">
        <f>P17*B18+P26*C18</f>
        <v>6.8611111111111116</v>
      </c>
      <c r="N18" s="85"/>
      <c r="O18" s="85"/>
      <c r="P18" s="85"/>
      <c r="Q18" s="85"/>
      <c r="R18" s="85"/>
      <c r="S18" s="114"/>
      <c r="T18" s="85"/>
    </row>
    <row r="19" spans="2:20" ht="17" thickBot="1" x14ac:dyDescent="0.25">
      <c r="E19" s="19"/>
      <c r="F19" s="85"/>
      <c r="G19" s="85"/>
      <c r="H19" s="11"/>
      <c r="I19" s="33">
        <v>0.44444444444444442</v>
      </c>
      <c r="J19" s="20"/>
      <c r="L19" s="19"/>
      <c r="M19" s="85"/>
      <c r="N19" s="85"/>
      <c r="O19" s="85"/>
      <c r="P19" s="85"/>
      <c r="Q19" s="85"/>
      <c r="R19" s="3"/>
      <c r="S19" s="115" cm="1">
        <f t="array" ref="S19:S20">B14:B15*C23:C24</f>
        <v>0.82577132486388383</v>
      </c>
      <c r="T19" s="85"/>
    </row>
    <row r="20" spans="2:20" ht="17" thickBot="1" x14ac:dyDescent="0.25">
      <c r="B20" s="13" t="s">
        <v>27</v>
      </c>
      <c r="C20" s="13"/>
      <c r="E20" s="19"/>
      <c r="F20" s="85"/>
      <c r="G20" s="85"/>
      <c r="H20" s="107" t="s">
        <v>83</v>
      </c>
      <c r="I20" s="6">
        <f>SUM(_xlfn.ANCHORARRAY(I18))</f>
        <v>2.666666666666667</v>
      </c>
      <c r="J20" s="20"/>
      <c r="L20" s="19"/>
      <c r="M20" s="85"/>
      <c r="N20" s="85"/>
      <c r="O20" s="85"/>
      <c r="P20" s="85"/>
      <c r="Q20" s="85"/>
      <c r="R20" s="11"/>
      <c r="S20" s="119">
        <v>2.439201451905626</v>
      </c>
      <c r="T20" s="85"/>
    </row>
    <row r="21" spans="2:20" x14ac:dyDescent="0.2">
      <c r="B21" s="3" t="s">
        <v>58</v>
      </c>
      <c r="C21" s="4">
        <f>VOI!C4</f>
        <v>4</v>
      </c>
      <c r="E21" s="19"/>
      <c r="F21" s="85"/>
      <c r="G21" s="85"/>
      <c r="H21" s="85"/>
      <c r="I21" s="112"/>
      <c r="J21" s="28"/>
      <c r="K21" s="25"/>
      <c r="L21" s="118"/>
      <c r="M21" s="85"/>
      <c r="N21" s="85"/>
      <c r="O21" s="85"/>
      <c r="P21" s="85"/>
      <c r="Q21" s="85"/>
      <c r="R21" s="107" t="s">
        <v>75</v>
      </c>
      <c r="S21" s="116">
        <f>SUM(_xlfn.ANCHORARRAY(S19))</f>
        <v>3.2649727767695098</v>
      </c>
      <c r="T21" s="85"/>
    </row>
    <row r="22" spans="2:20" x14ac:dyDescent="0.2">
      <c r="B22" s="11" t="s">
        <v>59</v>
      </c>
      <c r="C22" s="12">
        <f>VOI!C5</f>
        <v>1</v>
      </c>
      <c r="E22" s="19"/>
      <c r="F22" s="85"/>
      <c r="G22" s="85"/>
      <c r="H22" s="3"/>
      <c r="I22" s="4" cm="1">
        <f t="array" ref="I22:I23">_xlfn.ANCHORARRAY(C8)*C23:C24</f>
        <v>0.55555555555555558</v>
      </c>
      <c r="J22" s="20"/>
      <c r="L22" s="19"/>
      <c r="M22" s="85"/>
      <c r="N22" s="85"/>
      <c r="O22" s="85"/>
      <c r="P22" s="85"/>
      <c r="Q22" s="85"/>
      <c r="R22" s="85"/>
      <c r="S22" s="114"/>
      <c r="T22" s="85"/>
    </row>
    <row r="23" spans="2:20" ht="17" thickBot="1" x14ac:dyDescent="0.25">
      <c r="B23" s="11" t="s">
        <v>60</v>
      </c>
      <c r="C23" s="12">
        <f>VOI!C6</f>
        <v>1</v>
      </c>
      <c r="E23" s="19"/>
      <c r="F23" s="85"/>
      <c r="G23" s="85"/>
      <c r="H23" s="11"/>
      <c r="I23" s="33">
        <v>6.2222222222222214</v>
      </c>
      <c r="J23" s="20"/>
      <c r="L23" s="19"/>
      <c r="M23" s="85"/>
      <c r="N23" s="85"/>
      <c r="O23" s="85"/>
      <c r="P23" s="85"/>
      <c r="Q23" s="85"/>
      <c r="R23" s="85"/>
      <c r="S23" s="114"/>
      <c r="T23" s="85"/>
    </row>
    <row r="24" spans="2:20" x14ac:dyDescent="0.2">
      <c r="B24" s="5" t="s">
        <v>61</v>
      </c>
      <c r="C24" s="6">
        <f>VOI!C7</f>
        <v>14</v>
      </c>
      <c r="E24" s="19"/>
      <c r="F24" s="85"/>
      <c r="G24" s="85"/>
      <c r="H24" s="107" t="s">
        <v>84</v>
      </c>
      <c r="I24" s="6">
        <f>SUM(_xlfn.ANCHORARRAY(I22))</f>
        <v>6.7777777777777768</v>
      </c>
      <c r="J24" s="20"/>
      <c r="L24" s="19"/>
      <c r="M24" s="85"/>
      <c r="N24" s="85"/>
      <c r="Q24" s="85"/>
      <c r="R24" s="3"/>
      <c r="S24" s="115" cm="1">
        <f t="array" ref="S24:S25">C21:C22*C14:C15</f>
        <v>1.5240328253223916</v>
      </c>
      <c r="T24" s="85"/>
    </row>
    <row r="25" spans="2:20" ht="17" thickBot="1" x14ac:dyDescent="0.25">
      <c r="E25" s="19"/>
      <c r="F25" s="85"/>
      <c r="G25" s="85"/>
      <c r="H25" s="85"/>
      <c r="I25" s="85"/>
      <c r="J25" s="20"/>
      <c r="L25" s="19"/>
      <c r="M25" s="85"/>
      <c r="N25" s="85"/>
      <c r="Q25" s="85"/>
      <c r="R25" s="11"/>
      <c r="S25" s="119">
        <v>0.61899179366940205</v>
      </c>
      <c r="T25" s="85"/>
    </row>
    <row r="26" spans="2:20" x14ac:dyDescent="0.2">
      <c r="E26" s="19"/>
      <c r="F26" s="85"/>
      <c r="G26" s="85"/>
      <c r="H26" s="85"/>
      <c r="I26" s="85"/>
      <c r="J26" s="20"/>
      <c r="L26" s="19"/>
      <c r="M26" s="85"/>
      <c r="N26" s="85"/>
      <c r="O26" s="14" t="s">
        <v>77</v>
      </c>
      <c r="P26" s="38">
        <f>MAX(S26,S30)</f>
        <v>9.0468933177022279</v>
      </c>
      <c r="Q26" s="85"/>
      <c r="R26" s="107" t="s">
        <v>78</v>
      </c>
      <c r="S26" s="116">
        <f>SUM(_xlfn.ANCHORARRAY(S24))</f>
        <v>2.1430246189917934</v>
      </c>
      <c r="T26" s="85"/>
    </row>
    <row r="27" spans="2:20" x14ac:dyDescent="0.2">
      <c r="B27" t="s">
        <v>30</v>
      </c>
      <c r="E27" s="19"/>
      <c r="F27" s="85"/>
      <c r="G27" s="85"/>
      <c r="H27" s="85"/>
      <c r="I27" s="85"/>
      <c r="J27" s="20"/>
      <c r="L27" s="19"/>
      <c r="M27" s="85"/>
      <c r="N27" s="85"/>
      <c r="O27" s="85"/>
      <c r="P27" s="85"/>
      <c r="Q27" s="85"/>
      <c r="R27" s="85"/>
      <c r="S27" s="114"/>
      <c r="T27" s="85"/>
    </row>
    <row r="28" spans="2:20" x14ac:dyDescent="0.2">
      <c r="B28" s="104" t="s">
        <v>31</v>
      </c>
      <c r="C28" s="103">
        <f xml:space="preserve"> M18-F18</f>
        <v>8.3333333333334814E-2</v>
      </c>
      <c r="E28" s="19"/>
      <c r="F28" s="85"/>
      <c r="G28" s="85"/>
      <c r="H28" s="85"/>
      <c r="I28" s="85"/>
      <c r="J28" s="20"/>
      <c r="L28" s="19"/>
      <c r="M28" s="85"/>
      <c r="N28" s="85"/>
      <c r="O28" s="85"/>
      <c r="P28" s="85"/>
      <c r="Q28" s="85"/>
      <c r="R28" s="3"/>
      <c r="S28" s="115" cm="1">
        <f t="array" ref="S28:S29">C23:C24*C14:C15</f>
        <v>0.3810082063305979</v>
      </c>
      <c r="T28" s="85"/>
    </row>
    <row r="29" spans="2:20" ht="17" thickBot="1" x14ac:dyDescent="0.25">
      <c r="E29" s="19"/>
      <c r="F29" s="85"/>
      <c r="G29" s="85"/>
      <c r="H29" s="85"/>
      <c r="I29" s="85"/>
      <c r="J29" s="20"/>
      <c r="L29" s="19"/>
      <c r="M29" s="85"/>
      <c r="N29" s="85"/>
      <c r="O29" s="85"/>
      <c r="P29" s="85"/>
      <c r="Q29" s="85"/>
      <c r="R29" s="11"/>
      <c r="S29" s="119">
        <v>8.6658851113716295</v>
      </c>
      <c r="T29" s="85"/>
    </row>
    <row r="30" spans="2:20" x14ac:dyDescent="0.2">
      <c r="E30" s="19"/>
      <c r="F30" s="85"/>
      <c r="G30" s="85"/>
      <c r="H30" s="85"/>
      <c r="I30" s="85"/>
      <c r="J30" s="20"/>
      <c r="L30" s="19"/>
      <c r="M30" s="85"/>
      <c r="N30" s="85"/>
      <c r="O30" s="85"/>
      <c r="P30" s="85"/>
      <c r="Q30" s="85"/>
      <c r="R30" s="107" t="s">
        <v>79</v>
      </c>
      <c r="S30" s="116">
        <f>SUM(_xlfn.ANCHORARRAY(S28))</f>
        <v>9.0468933177022279</v>
      </c>
      <c r="T30" s="85"/>
    </row>
    <row r="31" spans="2:20" ht="17" thickBot="1" x14ac:dyDescent="0.25">
      <c r="E31" s="22"/>
      <c r="F31" s="23"/>
      <c r="G31" s="23"/>
      <c r="H31" s="23"/>
      <c r="I31" s="23"/>
      <c r="J31" s="24"/>
      <c r="L31" s="22"/>
      <c r="M31" s="23"/>
      <c r="N31" s="23"/>
      <c r="O31" s="23"/>
      <c r="P31" s="23"/>
      <c r="Q31" s="23"/>
      <c r="R31" s="23"/>
      <c r="S31" s="119"/>
      <c r="T31" s="8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Instructions</vt:lpstr>
      <vt:lpstr>BayesRule</vt:lpstr>
      <vt:lpstr>VOI</vt:lpstr>
      <vt:lpstr>incomplete VOI</vt:lpstr>
      <vt:lpstr>p</vt:lpstr>
      <vt:lpstr>p_p</vt:lpstr>
      <vt:lpstr>q</vt:lpstr>
      <vt:lpstr>q_p</vt:lpstr>
      <vt:lpstr>r_p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Mark Agosta</dc:creator>
  <cp:lastModifiedBy>John Mark Agosta</cp:lastModifiedBy>
  <dcterms:created xsi:type="dcterms:W3CDTF">2026-07-21T02:25:57Z</dcterms:created>
  <dcterms:modified xsi:type="dcterms:W3CDTF">2026-07-27T04:31:33Z</dcterms:modified>
</cp:coreProperties>
</file>