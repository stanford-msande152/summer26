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1" activeTab="2" autoFilterDateGrouping="1"/>
  </bookViews>
  <sheets>
    <sheet name="README" sheetId="1" state="hidden" r:id="rId1"/>
    <sheet name="A3_Inputs" sheetId="2" state="visible" r:id="rId2"/>
    <sheet name="Inputs" sheetId="3" state="visible" r:id="rId3"/>
    <sheet name="Final" sheetId="4" state="visible" r:id="rId4"/>
    <sheet name="Validation" sheetId="5" state="visible" r:id="rId5"/>
  </sheets>
  <definedNames>
    <definedName name="a_2">Inputs!$C$20</definedName>
    <definedName name="a_3">Inputs!$C$21</definedName>
    <definedName name="a_4">Inputs!$C$22</definedName>
    <definedName name="a_5">Inputs!$C$23</definedName>
    <definedName name="a_6">Inputs!$C$24</definedName>
    <definedName name="B_late">Inputs!$C$16</definedName>
    <definedName name="B_nr">Inputs!$C$13</definedName>
    <definedName name="B_rf">Inputs!$C$14</definedName>
    <definedName name="f_k">Inputs!$C$15</definedName>
    <definedName name="P_cum">Inputs!$C$25</definedName>
    <definedName name="P_k">Inputs!$C$26</definedName>
    <definedName name="q_k">Inputs!$C$17</definedName>
    <definedName name="r_k">Inputs!$C$18</definedName>
    <definedName name="rf_avail">Inputs!$C$31</definedName>
    <definedName name="rho">Inputs!$C$29</definedName>
    <definedName name="v_k">Inputs!$C$27</definedName>
  </definedNames>
  <calcPr calcId="191029" fullCalcOnLoad="1" iterateDelta="0.0001"/>
</workbook>
</file>

<file path=xl/styles.xml><?xml version="1.0" encoding="utf-8"?>
<styleSheet xmlns="http://schemas.openxmlformats.org/spreadsheetml/2006/main">
  <numFmts count="4">
    <numFmt numFmtId="164" formatCode="\$#,##0.00;&quot;($&quot;#,##0.00\);\-"/>
    <numFmt numFmtId="165" formatCode="0.0%"/>
    <numFmt numFmtId="166" formatCode="\$#,##0;&quot;($&quot;#,##0\);\-"/>
    <numFmt numFmtId="167" formatCode="0.0000"/>
  </numFmts>
  <fonts count="23">
    <font>
      <name val="Calibri"/>
      <charset val="1"/>
      <family val="2"/>
      <color theme="1"/>
      <sz val="11"/>
    </font>
    <font>
      <name val="Arial"/>
      <charset val="1"/>
      <b val="1"/>
      <color rgb="FF1F3864"/>
      <sz val="14"/>
    </font>
    <font>
      <name val="Arial"/>
      <charset val="1"/>
      <i val="1"/>
      <color rgb="FF595959"/>
      <sz val="9"/>
    </font>
    <font>
      <name val="Arial"/>
      <charset val="1"/>
      <b val="1"/>
      <color rgb="FF1F3864"/>
      <sz val="11"/>
    </font>
    <font>
      <name val="Arial"/>
      <charset val="1"/>
      <sz val="10"/>
    </font>
    <font>
      <name val="Arial"/>
      <charset val="1"/>
      <b val="1"/>
      <color rgb="FFFFFFFF"/>
      <sz val="10"/>
    </font>
    <font>
      <name val="Arial"/>
      <charset val="1"/>
      <color rgb="FF0000FF"/>
      <sz val="10"/>
    </font>
    <font>
      <name val="Arial"/>
      <charset val="1"/>
      <b val="1"/>
      <sz val="10"/>
    </font>
    <font>
      <name val="Arial"/>
      <charset val="1"/>
      <sz val="9"/>
    </font>
    <font>
      <name val="Arial"/>
      <charset val="1"/>
      <color rgb="FF008000"/>
      <sz val="10"/>
    </font>
    <font>
      <name val="Arial"/>
      <charset val="1"/>
      <i val="1"/>
      <sz val="10"/>
    </font>
    <font>
      <name val="Arial"/>
      <charset val="1"/>
      <i val="1"/>
      <sz val="9"/>
    </font>
    <font>
      <name val="Arial"/>
      <charset val="1"/>
      <b val="1"/>
      <color rgb="FF843C0C"/>
      <sz val="10"/>
    </font>
    <font>
      <name val="Arial"/>
      <charset val="1"/>
      <i val="1"/>
      <color rgb="FF843C0C"/>
      <sz val="9"/>
    </font>
    <font>
      <name val="Arial"/>
      <charset val="1"/>
      <b val="1"/>
      <sz val="11"/>
    </font>
    <font>
      <name val="Arial"/>
      <charset val="1"/>
      <b val="1"/>
      <color rgb="FFFFFFFF"/>
      <sz val="11"/>
    </font>
    <font>
      <name val="Arial"/>
      <charset val="1"/>
      <b val="1"/>
      <sz val="12"/>
    </font>
    <font>
      <name val="Arial"/>
      <family val="2"/>
      <sz val="9"/>
    </font>
    <font>
      <name val="Calibri"/>
      <charset val="1"/>
      <family val="2"/>
      <sz val="11"/>
    </font>
    <font>
      <name val="Arial"/>
      <family val="2"/>
      <b val="1"/>
      <sz val="14"/>
    </font>
    <font>
      <name val="Arial"/>
      <family val="2"/>
      <b val="1"/>
      <sz val="11"/>
    </font>
    <font>
      <name val="Arial"/>
      <family val="2"/>
      <b val="1"/>
      <sz val="10"/>
    </font>
    <font>
      <name val="Arial"/>
      <family val="2"/>
      <sz val="10"/>
    </font>
  </fonts>
  <fills count="17">
    <fill>
      <patternFill/>
    </fill>
    <fill>
      <patternFill patternType="gray125"/>
    </fill>
    <fill>
      <patternFill patternType="solid">
        <fgColor rgb="FF1F3864"/>
        <bgColor rgb="FF333333"/>
      </patternFill>
    </fill>
    <fill>
      <patternFill patternType="solid">
        <fgColor rgb="FFFCE4D6"/>
        <bgColor rgb="FFF2F2F2"/>
      </patternFill>
    </fill>
    <fill>
      <patternFill patternType="solid">
        <fgColor rgb="FFF2F2F2"/>
        <bgColor rgb="FFDEEAF6"/>
      </patternFill>
    </fill>
    <fill>
      <patternFill patternType="solid">
        <fgColor rgb="FFFFFF00"/>
        <bgColor rgb="FFFFFF00"/>
      </patternFill>
    </fill>
    <fill>
      <patternFill patternType="solid">
        <fgColor rgb="FFDEEAF6"/>
        <bgColor rgb="FFF2F2F2"/>
      </patternFill>
    </fill>
    <fill>
      <patternFill patternType="solid">
        <fgColor rgb="FF2E7D32"/>
        <bgColor rgb="FF008000"/>
      </patternFill>
    </fill>
    <fill>
      <patternFill patternType="solid">
        <fgColor theme="9"/>
        <bgColor rgb="FF333333"/>
      </patternFill>
    </fill>
    <fill>
      <patternFill patternType="solid">
        <fgColor theme="2" tint="-0.249977111117893"/>
        <bgColor rgb="FFDEEAF6"/>
      </patternFill>
    </fill>
    <fill>
      <patternFill patternType="solid">
        <fgColor theme="2" tint="-0.249977111117893"/>
        <bgColor rgb="FF333333"/>
      </patternFill>
    </fill>
    <fill>
      <patternFill patternType="solid">
        <fgColor theme="5" tint="0.5999938962981048"/>
        <bgColor rgb="FFDEEAF6"/>
      </patternFill>
    </fill>
    <fill>
      <patternFill patternType="solid">
        <fgColor theme="5" tint="0.5999938962981048"/>
        <bgColor rgb="FF333333"/>
      </patternFill>
    </fill>
    <fill>
      <patternFill patternType="solid">
        <fgColor theme="8" tint="0.5999938962981048"/>
        <bgColor rgb="FFDEEAF6"/>
      </patternFill>
    </fill>
    <fill>
      <patternFill patternType="solid">
        <fgColor theme="8" tint="0.5999938962981048"/>
        <bgColor rgb="FF333333"/>
      </patternFill>
    </fill>
    <fill>
      <patternFill patternType="solid">
        <fgColor theme="6" tint="0.3999755851924192"/>
        <bgColor rgb="FFDEEAF6"/>
      </patternFill>
    </fill>
    <fill>
      <patternFill patternType="solid">
        <fgColor theme="6" tint="-0.499984740745262"/>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wrapText="1"/>
    </xf>
    <xf numFmtId="0" fontId="5" fillId="2" borderId="1" applyAlignment="1" pivotButton="0" quotePrefix="0" xfId="0">
      <alignment horizontal="center"/>
    </xf>
    <xf numFmtId="0" fontId="6" fillId="0" borderId="1" pivotButton="0" quotePrefix="0" xfId="0"/>
    <xf numFmtId="164" fontId="6" fillId="0" borderId="1" pivotButton="0" quotePrefix="0" xfId="0"/>
    <xf numFmtId="165" fontId="6" fillId="0" borderId="1" pivotButton="0" quotePrefix="0" xfId="0"/>
    <xf numFmtId="0" fontId="4" fillId="0" borderId="1" pivotButton="0" quotePrefix="0" xfId="0"/>
    <xf numFmtId="0" fontId="6" fillId="3" borderId="1" pivotButton="0" quotePrefix="0" xfId="0"/>
    <xf numFmtId="164" fontId="6" fillId="3" borderId="1" pivotButton="0" quotePrefix="0" xfId="0"/>
    <xf numFmtId="165" fontId="6" fillId="3" borderId="1" pivotButton="0" quotePrefix="0" xfId="0"/>
    <xf numFmtId="0" fontId="4" fillId="3" borderId="1" pivotButton="0" quotePrefix="0" xfId="0"/>
    <xf numFmtId="0" fontId="0" fillId="4" borderId="0" pivotButton="0" quotePrefix="0" xfId="0"/>
    <xf numFmtId="0" fontId="7" fillId="0" borderId="0" pivotButton="0" quotePrefix="0" xfId="0"/>
    <xf numFmtId="0" fontId="8" fillId="0" borderId="0" pivotButton="0" quotePrefix="0" xfId="0"/>
    <xf numFmtId="0" fontId="4" fillId="0" borderId="0" pivotButton="0" quotePrefix="0" xfId="0"/>
    <xf numFmtId="0" fontId="9" fillId="0" borderId="0" pivotButton="0" quotePrefix="0" xfId="0"/>
    <xf numFmtId="0" fontId="3" fillId="4" borderId="1" pivotButton="0" quotePrefix="0" xfId="0"/>
    <xf numFmtId="0" fontId="0" fillId="4" borderId="1" pivotButton="0" quotePrefix="0" xfId="0"/>
    <xf numFmtId="0" fontId="7" fillId="0" borderId="1" pivotButton="0" quotePrefix="0" xfId="0"/>
    <xf numFmtId="0" fontId="10" fillId="0" borderId="1" pivotButton="0" quotePrefix="0" xfId="0"/>
    <xf numFmtId="164" fontId="9" fillId="0" borderId="1" pivotButton="0" quotePrefix="0" xfId="0"/>
    <xf numFmtId="0" fontId="8" fillId="0" borderId="1" applyAlignment="1" pivotButton="0" quotePrefix="0" xfId="0">
      <alignment vertical="center" wrapText="1"/>
    </xf>
    <xf numFmtId="165" fontId="9" fillId="0" borderId="1" pivotButton="0" quotePrefix="0" xfId="0"/>
    <xf numFmtId="165" fontId="6" fillId="5" borderId="1" pivotButton="0" quotePrefix="0" xfId="0"/>
    <xf numFmtId="165" fontId="4" fillId="0" borderId="1" pivotButton="0" quotePrefix="0" xfId="0"/>
    <xf numFmtId="166" fontId="6" fillId="5" borderId="1" pivotButton="0" quotePrefix="0" xfId="0"/>
    <xf numFmtId="0" fontId="11" fillId="0" borderId="1" pivotButton="0" quotePrefix="0" xfId="0"/>
    <xf numFmtId="0" fontId="4" fillId="0" borderId="1" applyAlignment="1" pivotButton="0" quotePrefix="0" xfId="0">
      <alignment horizontal="center"/>
    </xf>
    <xf numFmtId="0" fontId="12" fillId="3" borderId="0" pivotButton="0" quotePrefix="0" xfId="0"/>
    <xf numFmtId="164" fontId="4" fillId="0" borderId="1" pivotButton="0" quotePrefix="0" xfId="0"/>
    <xf numFmtId="0" fontId="0" fillId="0" borderId="1" pivotButton="0" quotePrefix="0" xfId="0"/>
    <xf numFmtId="164" fontId="7" fillId="6" borderId="1" pivotButton="0" quotePrefix="0" xfId="0"/>
    <xf numFmtId="0" fontId="13" fillId="0" borderId="0" pivotButton="0" quotePrefix="0" xfId="0"/>
    <xf numFmtId="164" fontId="7" fillId="0" borderId="1" pivotButton="0" quotePrefix="0" xfId="0"/>
    <xf numFmtId="164" fontId="7" fillId="0" borderId="0" pivotButton="0" quotePrefix="0" xfId="0"/>
    <xf numFmtId="0" fontId="14" fillId="0" borderId="0" pivotButton="0" quotePrefix="0" xfId="0"/>
    <xf numFmtId="0" fontId="15" fillId="7" borderId="1" applyAlignment="1" pivotButton="0" quotePrefix="0" xfId="0">
      <alignment horizontal="center"/>
    </xf>
    <xf numFmtId="164" fontId="4" fillId="0" borderId="0" pivotButton="0" quotePrefix="0" xfId="0"/>
    <xf numFmtId="0" fontId="5" fillId="2" borderId="1" pivotButton="0" quotePrefix="0" xfId="0"/>
    <xf numFmtId="167" fontId="4" fillId="0" borderId="1" pivotButton="0" quotePrefix="0" xfId="0"/>
    <xf numFmtId="0" fontId="7" fillId="6" borderId="1" pivotButton="0" quotePrefix="0" xfId="0"/>
    <xf numFmtId="164" fontId="6" fillId="5" borderId="1" pivotButton="0" quotePrefix="0" xfId="0"/>
    <xf numFmtId="0" fontId="7" fillId="0" borderId="1" applyAlignment="1" pivotButton="0" quotePrefix="0" xfId="0">
      <alignment horizontal="center"/>
    </xf>
    <xf numFmtId="166" fontId="9" fillId="0" borderId="1" pivotButton="0" quotePrefix="0" xfId="0"/>
    <xf numFmtId="166" fontId="6" fillId="0" borderId="1" pivotButton="0" quotePrefix="0" xfId="0"/>
    <xf numFmtId="0" fontId="16" fillId="0" borderId="0" pivotButton="0" quotePrefix="0" xfId="0"/>
    <xf numFmtId="0" fontId="16" fillId="0" borderId="1" applyAlignment="1" pivotButton="0" quotePrefix="0" xfId="0">
      <alignment horizontal="center"/>
    </xf>
    <xf numFmtId="0" fontId="8" fillId="0" borderId="0" applyAlignment="1" pivotButton="0" quotePrefix="0" xfId="0">
      <alignment wrapText="1"/>
    </xf>
    <xf numFmtId="0" fontId="17" fillId="0" borderId="0" pivotButton="0" quotePrefix="0" xfId="0"/>
    <xf numFmtId="0" fontId="18" fillId="0" borderId="0" pivotButton="0" quotePrefix="0" xfId="0"/>
    <xf numFmtId="0" fontId="5" fillId="8" borderId="1" applyAlignment="1" pivotButton="0" quotePrefix="0" xfId="0">
      <alignment horizontal="center"/>
    </xf>
    <xf numFmtId="0" fontId="5" fillId="8" borderId="1" applyAlignment="1" pivotButton="0" quotePrefix="0" xfId="0">
      <alignment horizontal="center" wrapText="1"/>
    </xf>
    <xf numFmtId="0" fontId="19" fillId="0" borderId="0" pivotButton="0" quotePrefix="0" xfId="0"/>
    <xf numFmtId="0" fontId="20" fillId="0" borderId="0" pivotButton="0" quotePrefix="0" xfId="0"/>
    <xf numFmtId="0" fontId="20" fillId="4" borderId="1" pivotButton="0" quotePrefix="0" xfId="0"/>
    <xf numFmtId="0" fontId="18" fillId="4" borderId="1" pivotButton="0" quotePrefix="0" xfId="0"/>
    <xf numFmtId="0" fontId="20" fillId="9" borderId="1" pivotButton="0" quotePrefix="0" xfId="0"/>
    <xf numFmtId="0" fontId="18" fillId="9" borderId="1" pivotButton="0" quotePrefix="0" xfId="0"/>
    <xf numFmtId="0" fontId="21" fillId="10" borderId="1" applyAlignment="1" pivotButton="0" quotePrefix="0" xfId="0">
      <alignment horizontal="center"/>
    </xf>
    <xf numFmtId="0" fontId="20" fillId="11" borderId="1" pivotButton="0" quotePrefix="0" xfId="0"/>
    <xf numFmtId="0" fontId="18" fillId="11" borderId="1" pivotButton="0" quotePrefix="0" xfId="0"/>
    <xf numFmtId="0" fontId="21" fillId="12" borderId="1" applyAlignment="1" pivotButton="0" quotePrefix="0" xfId="0">
      <alignment horizontal="center"/>
    </xf>
    <xf numFmtId="0" fontId="20" fillId="13" borderId="1" pivotButton="0" quotePrefix="0" xfId="0"/>
    <xf numFmtId="0" fontId="18" fillId="13" borderId="1" pivotButton="0" quotePrefix="0" xfId="0"/>
    <xf numFmtId="0" fontId="21" fillId="14" borderId="1" applyAlignment="1" pivotButton="0" quotePrefix="0" xfId="0">
      <alignment horizontal="center"/>
    </xf>
    <xf numFmtId="0" fontId="22" fillId="0" borderId="1" pivotButton="0" quotePrefix="0" xfId="0"/>
    <xf numFmtId="0" fontId="20" fillId="4" borderId="0" pivotButton="0" quotePrefix="0" xfId="0"/>
    <xf numFmtId="0" fontId="20" fillId="15" borderId="1" pivotButton="0" quotePrefix="0" xfId="0"/>
    <xf numFmtId="0" fontId="0" fillId="15" borderId="1" pivotButton="0" quotePrefix="0" xfId="0"/>
    <xf numFmtId="0" fontId="5" fillId="16" borderId="1" applyAlignment="1" pivotButton="0" quotePrefix="0" xfId="0">
      <alignment horizontal="center"/>
    </xf>
    <xf numFmtId="0" fontId="13" fillId="0" borderId="0" applyAlignment="1" pivotButton="0" quotePrefix="0" xfId="0">
      <alignment vertical="top"/>
    </xf>
  </cellXfs>
  <cellStyles count="1">
    <cellStyle name="Normal" xfId="0" builtinId="0"/>
  </cellStyles>
  <dxfs count="6">
    <dxf>
      <font>
        <name val="Arial"/>
        <charset val="1"/>
        <b val="1"/>
        <color rgb="FF9C0006"/>
      </font>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ont>
        <name val="Arial"/>
        <charset val="1"/>
        <b val="1"/>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2E7D32"/>
      <rgbColor rgb="FF006100"/>
      <rgbColor rgb="FF333300"/>
      <rgbColor rgb="FF843C0C"/>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8"/>
  <sheetViews>
    <sheetView showGridLines="0" topLeftCell="A6" zoomScaleNormal="100" workbookViewId="0">
      <selection activeCell="A1" sqref="A1"/>
    </sheetView>
  </sheetViews>
  <sheetFormatPr baseColWidth="10" defaultColWidth="8.6328125" defaultRowHeight="14.5"/>
  <cols>
    <col width="3" customWidth="1" min="1" max="1"/>
    <col width="34" customWidth="1" min="2" max="2"/>
    <col width="100" customWidth="1" min="3" max="3"/>
  </cols>
  <sheetData>
    <row r="2" ht="18" customHeight="1">
      <c r="B2" s="1" t="inlineStr">
        <is>
          <t>"Book Now or Wait?" - Decision model</t>
        </is>
      </c>
    </row>
    <row r="3">
      <c r="B3" s="2" t="inlineStr">
        <is>
          <t>MS&amp;E 152 Decision Analysis  |  Model Lead: Eugenio  |  v2, Tue 28 Jul 2026  |  Cost inputs from Dias's Bundle Schedule v2 SOURCED (27 Jul)</t>
        </is>
      </c>
    </row>
    <row r="5">
      <c r="B5" s="3" t="inlineStr">
        <is>
          <t>What this file is</t>
        </is>
      </c>
    </row>
    <row r="6" ht="39" customHeight="1">
      <c r="C6" s="4" t="inlineStr">
        <is>
          <t>The generic round-k subtree of Part A - book non-refundable now, book refundable at a premium, or wait - instantiated and solved for the FINAL, the clean case with one venue and nothing downstream. This is the 29 Jul draft deliverable. The structure is built once; every later stage reuses it unchanged.</t>
        </is>
      </c>
    </row>
    <row r="8">
      <c r="B8" s="3" t="inlineStr">
        <is>
          <t>How the numbers get in</t>
        </is>
      </c>
    </row>
    <row r="9" ht="39" customHeight="1">
      <c r="C9" s="4" t="inlineStr">
        <is>
          <t>Dias's A.3 table is pasted verbatim on the Dias_A3_Inputs tab. The Inputs tab picks one team-and-round with two selector cells and pulls B_nr, B_rf, f_k, B_late, q_k and r_k from that tab by lookup. Nothing is retyped. When Dias issues v3, replace that one tab and the whole model follows.</t>
        </is>
      </c>
    </row>
    <row r="10" ht="27" customHeight="1">
      <c r="C10" s="4" t="inlineStr">
        <is>
          <t>Benjamin's inputs - P_k, v_k and rho - are still outstanding as of 28 Jul and remain PLACEHOLDERS, marked in yellow on the Inputs tab. They are the only cells a reader should treat as unsourced.</t>
        </is>
      </c>
    </row>
    <row r="12">
      <c r="B12" s="3" t="inlineStr">
        <is>
          <t>Four structural decisions taken from Dias's open questions</t>
        </is>
      </c>
    </row>
    <row r="13" ht="51" customHeight="1">
      <c r="C13" s="4" t="inlineStr">
        <is>
          <t>Q7 - PRUNE THE REFUNDABLE ARM AT DALLAS NODES. Adopted. At a Dallas match the bundle is a bare ticket, and a ticket has no flexible version, so B_rf = B_nr exactly. That is the arm being unavailable, not dominated. The model tests B_rf &gt; B_nr and removes the arm from the comparison when it fails, so the roll-back can never recommend a strategy the fan cannot buy. Validation test 5 proves the pruning binds.</t>
        </is>
      </c>
    </row>
    <row r="14" ht="51" customHeight="1">
      <c r="C14" s="4" t="inlineStr">
        <is>
          <t>Q2 - r VARIES BY STAGE. Adopted, as r_k. A.3 lists one r, but recovery depends on bundle composition: a Dallas ticket recovers 73.9% while an away Final loaded with prepaid hotel recovers 47.7%. Averaging would delete the channel through which the Dallas assumption flips decisions. Dias's blended r of 0.425 is kept for a sensitivity run only. THIS IS A DEVIATION FROM A.3 AND NEEDS GROUP SIGN-OFF BEFORE 2 AUG.</t>
        </is>
      </c>
    </row>
    <row r="15" ht="39" customHeight="1">
      <c r="C15" s="4" t="inlineStr">
        <is>
          <t>Q1 - f_k IS NOT ZERO. Adopted. The proposal assumes f_k is approximately zero, but cancelling a refundable bundle still strands the ticket, and the fee structure fixes f_k at 30% of face. Holding f_k at zero would hand the refundable branch an unearned advantage in exactly the place the risk-aversion run looks.</t>
        </is>
      </c>
    </row>
    <row r="16" ht="39" customHeight="1">
      <c r="C16" s="4" t="inlineStr">
        <is>
          <t>Q3 - THE GROUP-STAGE NODE IS DEGENERATE. Agreed with Dias. At k = 1 the team is already in, so P = 1 and A.6's own degenerate check collapses the choice to the cheapest bundle; there is also no v_1 in A.3 to score it. Recommend the live analysis start at the R32 and the group stage be reported as degenerate.</t>
        </is>
      </c>
    </row>
    <row r="18">
      <c r="B18" s="3" t="inlineStr">
        <is>
          <t>Colour legend</t>
        </is>
      </c>
    </row>
    <row r="19" ht="27" customHeight="1">
      <c r="C19" s="4" t="inlineStr">
        <is>
          <t>Blue on yellow = hard input still to be supplied.   Green = link to another tab in this file.   Black = formula, do not overtype.   Orange = a structural flag the reader should notice.</t>
        </is>
      </c>
    </row>
    <row r="21">
      <c r="B21" s="3" t="inlineStr">
        <is>
          <t>Tabs</t>
        </is>
      </c>
    </row>
    <row r="22" ht="15" customHeight="1">
      <c r="C22" s="4" t="inlineStr">
        <is>
          <t>Dias_A3_Inputs - verbatim snapshot of Dias's twelve team-stage rows, plus a lookup key.</t>
        </is>
      </c>
    </row>
    <row r="23" ht="15" customHeight="1">
      <c r="C23" s="4" t="inlineStr">
        <is>
          <t>Inputs         - the A.3 symbol table for the selected stage, with owner and freeze date.</t>
        </is>
      </c>
    </row>
    <row r="24" ht="15" customHeight="1">
      <c r="C24" s="4" t="inlineStr">
        <is>
          <t>Final          - the round-k subtree laid out node by node, rolled back, with the optimal decision.</t>
        </is>
      </c>
    </row>
    <row r="25" ht="15" customHeight="1">
      <c r="C25" s="4" t="inlineStr">
        <is>
          <t>Validation     - the A.6 checklist: hand-calculation cross-check plus five structural tests.</t>
        </is>
      </c>
    </row>
    <row r="27">
      <c r="B27" s="3" t="inlineStr">
        <is>
          <t>Still to do after the draft</t>
        </is>
      </c>
    </row>
    <row r="28" ht="39" customHeight="1">
      <c r="C28" s="4" t="inlineStr">
        <is>
          <t>1) Benjamin's P_k, v_k and rho, then re-run the hand calculation once and re-enter the three reference figures on the Validation tab. 2) Group sign-off on r_k per stage. 3) 3-5 Aug: chain the six stages, run both scenarios, produce the optimal policy table.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18"/>
  <sheetViews>
    <sheetView showGridLines="0" zoomScaleNormal="100" workbookViewId="0">
      <selection activeCell="G21" sqref="G21"/>
    </sheetView>
  </sheetViews>
  <sheetFormatPr baseColWidth="10" defaultColWidth="8.6328125" defaultRowHeight="14.5"/>
  <cols>
    <col width="12" customWidth="1" min="1" max="1"/>
    <col width="5" customWidth="1" min="2" max="2"/>
    <col width="15" customWidth="1" min="3" max="3"/>
    <col width="16" customWidth="1" min="4" max="4"/>
    <col width="12" customWidth="1" min="5" max="6"/>
    <col width="10" customWidth="1" min="7" max="7"/>
    <col width="12" customWidth="1" min="8" max="8"/>
    <col width="9" customWidth="1" min="9" max="9"/>
    <col width="12" customWidth="1" min="10" max="10"/>
    <col width="14" customWidth="1" min="11" max="11"/>
  </cols>
  <sheetData>
    <row r="1" ht="18" customHeight="1">
      <c r="A1" s="1" t="inlineStr">
        <is>
          <t>A.3 deliverable - verbatim snapshot</t>
        </is>
      </c>
    </row>
    <row r="2" ht="27.75" customHeight="1">
      <c r="A2" s="5" t="inlineStr">
        <is>
          <t>Copied from MS_E_152_Bundle_Schedule.xlsx, tab A3_Inputs, v2 SOURCED, 27 Jul 2026. Do not edit by hand - replace the whole block when Dias issues a new version. Sourcing status, citations and caveats live in that file's Source_Log and Open_Questions tabs and are not duplicated here.</t>
        </is>
      </c>
    </row>
    <row r="4">
      <c r="A4" s="6" t="inlineStr">
        <is>
          <t>Team</t>
        </is>
      </c>
      <c r="B4" s="6" t="inlineStr">
        <is>
          <t>k</t>
        </is>
      </c>
      <c r="C4" s="6" t="inlineStr">
        <is>
          <t>Stage</t>
        </is>
      </c>
      <c r="D4" s="6" t="inlineStr">
        <is>
          <t>Venue city</t>
        </is>
      </c>
      <c r="E4" s="6" t="inlineStr">
        <is>
          <t>B_nr</t>
        </is>
      </c>
      <c r="F4" s="6" t="inlineStr">
        <is>
          <t>B_rf</t>
        </is>
      </c>
      <c r="G4" s="6" t="inlineStr">
        <is>
          <t>f_k</t>
        </is>
      </c>
      <c r="H4" s="6" t="inlineStr">
        <is>
          <t>B_late</t>
        </is>
      </c>
      <c r="I4" s="6" t="inlineStr">
        <is>
          <t>q_k</t>
        </is>
      </c>
      <c r="J4" s="6" t="inlineStr">
        <is>
          <t>r_k</t>
        </is>
      </c>
      <c r="K4" s="6" t="inlineStr">
        <is>
          <t>Lookup key</t>
        </is>
      </c>
    </row>
    <row r="5">
      <c r="A5" s="7" t="inlineStr">
        <is>
          <t>Spain</t>
        </is>
      </c>
      <c r="B5" s="7" t="n">
        <v>1</v>
      </c>
      <c r="C5" s="7" t="inlineStr">
        <is>
          <t>Group stage</t>
        </is>
      </c>
      <c r="D5" s="7" t="inlineStr">
        <is>
          <t>Atlanta</t>
        </is>
      </c>
      <c r="E5" s="8" t="n">
        <v>1062.165</v>
      </c>
      <c r="F5" s="8" t="n">
        <v>1235.596</v>
      </c>
      <c r="G5" s="8" t="n">
        <v>50.25</v>
      </c>
      <c r="H5" s="8" t="n">
        <v>1139.215</v>
      </c>
      <c r="I5" s="9" t="n">
        <v>0.05</v>
      </c>
      <c r="J5" s="9" t="n">
        <v>0.3769423771</v>
      </c>
      <c r="K5" s="10">
        <f>A5&amp;"|"&amp;B5</f>
        <v/>
      </c>
    </row>
    <row r="6">
      <c r="A6" s="7" t="inlineStr">
        <is>
          <t>Spain</t>
        </is>
      </c>
      <c r="B6" s="7" t="n">
        <v>2</v>
      </c>
      <c r="C6" s="7" t="inlineStr">
        <is>
          <t>Round of 32</t>
        </is>
      </c>
      <c r="D6" s="7" t="inlineStr">
        <is>
          <t>Los Angeles</t>
        </is>
      </c>
      <c r="E6" s="8" t="n">
        <v>1413.325</v>
      </c>
      <c r="F6" s="8" t="n">
        <v>1635.98</v>
      </c>
      <c r="G6" s="8" t="n">
        <v>56.25</v>
      </c>
      <c r="H6" s="8" t="n">
        <v>1521.1375</v>
      </c>
      <c r="I6" s="9" t="n">
        <v>0.12</v>
      </c>
      <c r="J6" s="9" t="n">
        <v>0.2953142412</v>
      </c>
      <c r="K6" s="10">
        <f>A6&amp;"|"&amp;B6</f>
        <v/>
      </c>
    </row>
    <row r="7">
      <c r="A7" s="11" t="inlineStr">
        <is>
          <t>Spain</t>
        </is>
      </c>
      <c r="B7" s="11" t="n">
        <v>3</v>
      </c>
      <c r="C7" s="11" t="inlineStr">
        <is>
          <t>Round of 16</t>
        </is>
      </c>
      <c r="D7" s="11" t="inlineStr">
        <is>
          <t>Dallas</t>
        </is>
      </c>
      <c r="E7" s="12" t="n">
        <v>316.25</v>
      </c>
      <c r="F7" s="12" t="n">
        <v>316.25</v>
      </c>
      <c r="G7" s="12" t="n">
        <v>82.5</v>
      </c>
      <c r="H7" s="12" t="n">
        <v>537.625</v>
      </c>
      <c r="I7" s="13" t="n">
        <v>0.1</v>
      </c>
      <c r="J7" s="13" t="n">
        <v>0.7391304348</v>
      </c>
      <c r="K7" s="14">
        <f>A7&amp;"|"&amp;B7</f>
        <v/>
      </c>
    </row>
    <row r="8">
      <c r="A8" s="7" t="inlineStr">
        <is>
          <t>Spain</t>
        </is>
      </c>
      <c r="B8" s="7" t="n">
        <v>4</v>
      </c>
      <c r="C8" s="7" t="inlineStr">
        <is>
          <t>Quarter-final</t>
        </is>
      </c>
      <c r="D8" s="7" t="inlineStr">
        <is>
          <t>Los Angeles</t>
        </is>
      </c>
      <c r="E8" s="8" t="n">
        <v>1893.45</v>
      </c>
      <c r="F8" s="8" t="n">
        <v>2116.105</v>
      </c>
      <c r="G8" s="8" t="n">
        <v>181.5</v>
      </c>
      <c r="H8" s="8" t="n">
        <v>2589.2</v>
      </c>
      <c r="I8" s="9" t="n">
        <v>0.22</v>
      </c>
      <c r="J8" s="9" t="n">
        <v>0.4078533893</v>
      </c>
      <c r="K8" s="10">
        <f>A8&amp;"|"&amp;B8</f>
        <v/>
      </c>
    </row>
    <row r="9">
      <c r="A9" s="11" t="inlineStr">
        <is>
          <t>Spain</t>
        </is>
      </c>
      <c r="B9" s="11" t="n">
        <v>5</v>
      </c>
      <c r="C9" s="11" t="inlineStr">
        <is>
          <t>Semi-final</t>
        </is>
      </c>
      <c r="D9" s="11" t="inlineStr">
        <is>
          <t>Dallas</t>
        </is>
      </c>
      <c r="E9" s="12" t="n">
        <v>793.5</v>
      </c>
      <c r="F9" s="12" t="n">
        <v>793.5</v>
      </c>
      <c r="G9" s="12" t="n">
        <v>207</v>
      </c>
      <c r="H9" s="12" t="n">
        <v>1983.75</v>
      </c>
      <c r="I9" s="13" t="n">
        <v>0.2</v>
      </c>
      <c r="J9" s="13" t="n">
        <v>0.7391304348</v>
      </c>
      <c r="K9" s="14">
        <f>A9&amp;"|"&amp;B9</f>
        <v/>
      </c>
    </row>
    <row r="10">
      <c r="A10" s="7" t="inlineStr">
        <is>
          <t>Spain</t>
        </is>
      </c>
      <c r="B10" s="7" t="n">
        <v>6</v>
      </c>
      <c r="C10" s="7" t="inlineStr">
        <is>
          <t>Final</t>
        </is>
      </c>
      <c r="D10" s="7" t="inlineStr">
        <is>
          <t>New York NJ</t>
        </is>
      </c>
      <c r="E10" s="8" t="n">
        <v>5511.01</v>
      </c>
      <c r="F10" s="8" t="n">
        <v>5899.3865</v>
      </c>
      <c r="G10" s="8" t="n">
        <v>837</v>
      </c>
      <c r="H10" s="8" t="n">
        <v>13788.94</v>
      </c>
      <c r="I10" s="9" t="n">
        <v>0.45</v>
      </c>
      <c r="J10" s="9" t="n">
        <v>0.47713577</v>
      </c>
      <c r="K10" s="10">
        <f>A10&amp;"|"&amp;B10</f>
        <v/>
      </c>
    </row>
    <row r="11">
      <c r="A11" s="7" t="inlineStr">
        <is>
          <t>Norway</t>
        </is>
      </c>
      <c r="B11" s="7" t="n">
        <v>1</v>
      </c>
      <c r="C11" s="7" t="inlineStr">
        <is>
          <t>Group stage</t>
        </is>
      </c>
      <c r="D11" s="7" t="inlineStr">
        <is>
          <t>Boston</t>
        </is>
      </c>
      <c r="E11" s="8" t="n">
        <v>1844.865</v>
      </c>
      <c r="F11" s="8" t="n">
        <v>2135.701</v>
      </c>
      <c r="G11" s="8" t="n">
        <v>50.25</v>
      </c>
      <c r="H11" s="8" t="n">
        <v>1921.915</v>
      </c>
      <c r="I11" s="9" t="n">
        <v>0.05</v>
      </c>
      <c r="J11" s="9" t="n">
        <v>0.2170212997</v>
      </c>
      <c r="K11" s="10">
        <f>A11&amp;"|"&amp;B11</f>
        <v/>
      </c>
    </row>
    <row r="12">
      <c r="A12" s="11" t="inlineStr">
        <is>
          <t>Norway</t>
        </is>
      </c>
      <c r="B12" s="11" t="n">
        <v>2</v>
      </c>
      <c r="C12" s="11" t="inlineStr">
        <is>
          <t>Round of 32</t>
        </is>
      </c>
      <c r="D12" s="11" t="inlineStr">
        <is>
          <t>Dallas</t>
        </is>
      </c>
      <c r="E12" s="12" t="n">
        <v>215.625</v>
      </c>
      <c r="F12" s="12" t="n">
        <v>215.625</v>
      </c>
      <c r="G12" s="12" t="n">
        <v>56.25</v>
      </c>
      <c r="H12" s="12" t="n">
        <v>323.4375</v>
      </c>
      <c r="I12" s="13" t="n">
        <v>0.08</v>
      </c>
      <c r="J12" s="13" t="n">
        <v>0.7391304348</v>
      </c>
      <c r="K12" s="14">
        <f>A12&amp;"|"&amp;B12</f>
        <v/>
      </c>
    </row>
    <row r="13">
      <c r="A13" s="7" t="inlineStr">
        <is>
          <t>Norway</t>
        </is>
      </c>
      <c r="B13" s="7" t="n">
        <v>3</v>
      </c>
      <c r="C13" s="7" t="inlineStr">
        <is>
          <t>Round of 16</t>
        </is>
      </c>
      <c r="D13" s="7" t="inlineStr">
        <is>
          <t>New York NJ</t>
        </is>
      </c>
      <c r="E13" s="8" t="n">
        <v>1994.59</v>
      </c>
      <c r="F13" s="8" t="n">
        <v>2289.341</v>
      </c>
      <c r="G13" s="8" t="n">
        <v>82.5</v>
      </c>
      <c r="H13" s="8" t="n">
        <v>2215.965</v>
      </c>
      <c r="I13" s="9" t="n">
        <v>0.2</v>
      </c>
      <c r="J13" s="9" t="n">
        <v>0.2465418958</v>
      </c>
      <c r="K13" s="10">
        <f>A13&amp;"|"&amp;B13</f>
        <v/>
      </c>
    </row>
    <row r="14">
      <c r="A14" s="7" t="inlineStr">
        <is>
          <t>Norway</t>
        </is>
      </c>
      <c r="B14" s="7" t="n">
        <v>4</v>
      </c>
      <c r="C14" s="7" t="inlineStr">
        <is>
          <t>Quarter-final</t>
        </is>
      </c>
      <c r="D14" s="7" t="inlineStr">
        <is>
          <t>Miami</t>
        </is>
      </c>
      <c r="E14" s="8" t="n">
        <v>1881.81</v>
      </c>
      <c r="F14" s="8" t="n">
        <v>2102.719</v>
      </c>
      <c r="G14" s="8" t="n">
        <v>181.5</v>
      </c>
      <c r="H14" s="8" t="n">
        <v>2577.56</v>
      </c>
      <c r="I14" s="9" t="n">
        <v>0.25</v>
      </c>
      <c r="J14" s="9" t="n">
        <v>0.4103761804</v>
      </c>
      <c r="K14" s="10">
        <f>A14&amp;"|"&amp;B14</f>
        <v/>
      </c>
    </row>
    <row r="15">
      <c r="A15" s="7" t="inlineStr">
        <is>
          <t>Norway</t>
        </is>
      </c>
      <c r="B15" s="7" t="n">
        <v>5</v>
      </c>
      <c r="C15" s="7" t="inlineStr">
        <is>
          <t>Semi-final</t>
        </is>
      </c>
      <c r="D15" s="7" t="inlineStr">
        <is>
          <t>Atlanta</t>
        </is>
      </c>
      <c r="E15" s="8" t="n">
        <v>1885.04</v>
      </c>
      <c r="F15" s="8" t="n">
        <v>2091.771</v>
      </c>
      <c r="G15" s="8" t="n">
        <v>207</v>
      </c>
      <c r="H15" s="8" t="n">
        <v>3075.29</v>
      </c>
      <c r="I15" s="9" t="n">
        <v>0.3</v>
      </c>
      <c r="J15" s="9" t="n">
        <v>0.4480011034</v>
      </c>
      <c r="K15" s="10">
        <f>A15&amp;"|"&amp;B15</f>
        <v/>
      </c>
    </row>
    <row r="16">
      <c r="A16" s="7" t="inlineStr">
        <is>
          <t>Norway</t>
        </is>
      </c>
      <c r="B16" s="7" t="n">
        <v>6</v>
      </c>
      <c r="C16" s="7" t="inlineStr">
        <is>
          <t>Final</t>
        </is>
      </c>
      <c r="D16" s="7" t="inlineStr">
        <is>
          <t>New York NJ</t>
        </is>
      </c>
      <c r="E16" s="8" t="n">
        <v>5511.01</v>
      </c>
      <c r="F16" s="8" t="n">
        <v>5899.3865</v>
      </c>
      <c r="G16" s="8" t="n">
        <v>837</v>
      </c>
      <c r="H16" s="8" t="n">
        <v>13788.94</v>
      </c>
      <c r="I16" s="9" t="n">
        <v>0.45</v>
      </c>
      <c r="J16" s="9" t="n">
        <v>0.47713577</v>
      </c>
      <c r="K16" s="10">
        <f>A16&amp;"|"&amp;B16</f>
        <v/>
      </c>
    </row>
    <row r="18">
      <c r="A18" s="52" t="inlineStr">
        <is>
          <t>Orange rows are Dallas matches: no flight, no hotel, so B_rf = B_nr and the refundable arm is unavailable.</t>
        </is>
      </c>
      <c r="B18" s="53" t="n"/>
      <c r="C18" s="53" t="n"/>
      <c r="D18" s="53" t="n"/>
      <c r="E18" s="53" t="n"/>
      <c r="F18" s="53" t="n"/>
      <c r="G18" s="53" t="n"/>
      <c r="H18" s="53" t="n"/>
      <c r="I18" s="53"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33"/>
  <sheetViews>
    <sheetView showGridLines="0" tabSelected="1" zoomScaleNormal="100" workbookViewId="0">
      <selection activeCell="I25" sqref="I25"/>
    </sheetView>
  </sheetViews>
  <sheetFormatPr baseColWidth="10" defaultColWidth="8.6328125" defaultRowHeight="14.5"/>
  <cols>
    <col width="26" customWidth="1" min="1" max="1"/>
    <col width="14" customWidth="1" min="2" max="3"/>
    <col width="9" customWidth="1" min="4" max="4"/>
    <col width="11" customWidth="1" min="5" max="5"/>
    <col width="10" customWidth="1" min="6" max="6"/>
    <col width="62" customWidth="1" min="7" max="7"/>
  </cols>
  <sheetData>
    <row r="1" ht="18" customHeight="1">
      <c r="A1" s="56" t="inlineStr">
        <is>
          <t>Inputs - A.3 symbol table for the selected stage</t>
        </is>
      </c>
      <c r="B1" s="53" t="n"/>
      <c r="C1" s="53" t="n"/>
      <c r="D1" s="53" t="n"/>
    </row>
    <row r="2">
      <c r="A2" s="2" t="n"/>
    </row>
    <row r="4">
      <c r="A4" s="70" t="inlineStr">
        <is>
          <t>STAGE SELECTOR</t>
        </is>
      </c>
      <c r="B4" s="15" t="n"/>
      <c r="C4" s="15" t="n"/>
      <c r="D4" s="15" t="n"/>
      <c r="E4" s="15" t="n"/>
      <c r="F4" s="15" t="n"/>
      <c r="G4" s="15" t="n"/>
    </row>
    <row r="5">
      <c r="A5" s="16" t="inlineStr">
        <is>
          <t>Team</t>
        </is>
      </c>
      <c r="C5" s="69" t="inlineStr">
        <is>
          <t>Spain</t>
        </is>
      </c>
      <c r="G5" s="17" t="n"/>
    </row>
    <row r="6">
      <c r="A6" s="16" t="inlineStr">
        <is>
          <t>Round k</t>
        </is>
      </c>
      <c r="C6" s="69" t="n">
        <v>6</v>
      </c>
      <c r="G6" s="17" t="n"/>
    </row>
    <row r="7">
      <c r="A7" s="16" t="inlineStr">
        <is>
          <t>Matched row</t>
        </is>
      </c>
      <c r="C7" s="18">
        <f>MATCH($C$5&amp;"|"&amp;$C$6,A3_Inputs!$K$5:$K$16,0)</f>
        <v/>
      </c>
      <c r="G7" s="17" t="n"/>
    </row>
    <row r="8">
      <c r="A8" s="16" t="inlineStr">
        <is>
          <t>Stage</t>
        </is>
      </c>
      <c r="C8" s="19">
        <f>INDEX(A3_Inputs!$C$5:$C$16,$C$7)</f>
        <v/>
      </c>
    </row>
    <row r="9">
      <c r="A9" s="16" t="inlineStr">
        <is>
          <t>Venue city</t>
        </is>
      </c>
      <c r="C9" s="19">
        <f>INDEX(A3_Inputs!$D$5:$D$16,$C$7)</f>
        <v/>
      </c>
    </row>
    <row r="11">
      <c r="A11" s="73" t="inlineStr">
        <is>
          <t>A.3 symbol</t>
        </is>
      </c>
      <c r="B11" s="73" t="inlineStr">
        <is>
          <t>Excel name</t>
        </is>
      </c>
      <c r="C11" s="73" t="inlineStr">
        <is>
          <t>Value</t>
        </is>
      </c>
      <c r="D11" s="73" t="inlineStr">
        <is>
          <t>Unit</t>
        </is>
      </c>
      <c r="E11" s="73" t="inlineStr">
        <is>
          <t>Owner</t>
        </is>
      </c>
      <c r="F11" s="73" t="inlineStr">
        <is>
          <t>Freeze</t>
        </is>
      </c>
      <c r="G11" s="73" t="inlineStr">
        <is>
          <t>Meaning / status</t>
        </is>
      </c>
    </row>
    <row r="12">
      <c r="A12" s="71" t="inlineStr">
        <is>
          <t>Cost and availability inputs</t>
        </is>
      </c>
      <c r="B12" s="72" t="n"/>
      <c r="C12" s="72" t="n"/>
      <c r="D12" s="72" t="n"/>
      <c r="E12" s="72" t="n"/>
      <c r="F12" s="72" t="n"/>
      <c r="G12" s="72" t="n"/>
    </row>
    <row r="13" ht="25.5" customHeight="1">
      <c r="A13" s="22" t="inlineStr">
        <is>
          <t>B_k^nr</t>
        </is>
      </c>
      <c r="B13" s="23" t="inlineStr">
        <is>
          <t>B_nr</t>
        </is>
      </c>
      <c r="C13" s="24">
        <f>INDEX(A3_Inputs!$E$5:$E$16,$C$7)</f>
        <v/>
      </c>
      <c r="D13" s="10" t="inlineStr">
        <is>
          <t>USD</t>
        </is>
      </c>
      <c r="E13" s="10" t="inlineStr">
        <is>
          <t>Dias</t>
        </is>
      </c>
      <c r="F13" s="10" t="inlineStr">
        <is>
          <t>2 Aug</t>
        </is>
      </c>
      <c r="G13" s="25" t="inlineStr">
        <is>
          <t>Non-refundable bundle at the round-k decision point, Dallas origin. Built from airfare + hotel nightly x nights + ticket face x 1.15.</t>
        </is>
      </c>
    </row>
    <row r="14" ht="36.75" customHeight="1">
      <c r="A14" s="22" t="inlineStr">
        <is>
          <t>B_k^rf</t>
        </is>
      </c>
      <c r="B14" s="23" t="inlineStr">
        <is>
          <t>B_rf</t>
        </is>
      </c>
      <c r="C14" s="24">
        <f>INDEX(A3_Inputs!$F$5:$F$16,$C$7)</f>
        <v/>
      </c>
      <c r="D14" s="10" t="inlineStr">
        <is>
          <t>USD</t>
        </is>
      </c>
      <c r="E14" s="10" t="inlineStr">
        <is>
          <t>Dias</t>
        </is>
      </c>
      <c r="F14" s="10" t="inlineStr">
        <is>
          <t>2 Aug</t>
        </is>
      </c>
      <c r="G14" s="25" t="inlineStr">
        <is>
          <t>Refundable/flexible bundle. Premium applies to flight and hotel only - the ticket cannot be made flexible. Refundable premiums are NOT SOURCED and must be run as a band, not a point estimate.</t>
        </is>
      </c>
    </row>
    <row r="15" ht="25.5" customHeight="1">
      <c r="A15" s="22" t="inlineStr">
        <is>
          <t>f_k</t>
        </is>
      </c>
      <c r="B15" s="23" t="inlineStr">
        <is>
          <t>f_k</t>
        </is>
      </c>
      <c r="C15" s="24">
        <f>INDEX(A3_Inputs!$G$5:$G$16,$C$7)</f>
        <v/>
      </c>
      <c r="D15" s="10" t="inlineStr">
        <is>
          <t>USD</t>
        </is>
      </c>
      <c r="E15" s="10" t="inlineStr">
        <is>
          <t>Dias</t>
        </is>
      </c>
      <c r="F15" s="10" t="inlineStr">
        <is>
          <t>2 Aug</t>
        </is>
      </c>
      <c r="G15" s="25" t="inlineStr">
        <is>
          <t>Cancellation fee. NOT approximately zero as the proposal assumed: it equals the 30% round-trip resale fee drag on the stranded ticket (Dias Q1).</t>
        </is>
      </c>
    </row>
    <row r="16" ht="36.75" customHeight="1">
      <c r="A16" s="22" t="inlineStr">
        <is>
          <t>B_k^late</t>
        </is>
      </c>
      <c r="B16" s="23" t="inlineStr">
        <is>
          <t>B_late</t>
        </is>
      </c>
      <c r="C16" s="24">
        <f>INDEX(A3_Inputs!$H$5:$H$16,$C$7)</f>
        <v/>
      </c>
      <c r="D16" s="10" t="inlineStr">
        <is>
          <t>USD</t>
        </is>
      </c>
      <c r="E16" s="10" t="inlineStr">
        <is>
          <t>Dias</t>
        </is>
      </c>
      <c r="F16" s="10" t="inlineStr">
        <is>
          <t>2 Aug</t>
        </is>
      </c>
      <c r="G16" s="25" t="inlineStr">
        <is>
          <t>Late-booking bundle once qualification is confirmed. Both travel late-multipliers are 1.00 on sourced evidence, so the entire late penalty is ticket resale (Dias Q0).</t>
        </is>
      </c>
    </row>
    <row r="17" ht="25.5" customHeight="1">
      <c r="A17" s="22" t="inlineStr">
        <is>
          <t>q_k</t>
        </is>
      </c>
      <c r="B17" s="23" t="inlineStr">
        <is>
          <t>q_k</t>
        </is>
      </c>
      <c r="C17" s="26">
        <f>INDEX(A3_Inputs!$I$5:$I$16,$C$7)</f>
        <v/>
      </c>
      <c r="D17" s="10" t="inlineStr">
        <is>
          <t>prob</t>
        </is>
      </c>
      <c r="E17" s="10" t="inlineStr">
        <is>
          <t>Dias</t>
        </is>
      </c>
      <c r="F17" s="10" t="inlineStr">
        <is>
          <t>2 Aug</t>
        </is>
      </c>
      <c r="G17" s="25" t="inlineStr">
        <is>
          <t>Probability no acceptable option remains if the fan waits. A judgement call, not a sourced figure - Hamilton should receive a low/base/high band (Dias Q6).</t>
        </is>
      </c>
    </row>
    <row r="18" ht="36.75" customHeight="1">
      <c r="A18" s="22" t="inlineStr">
        <is>
          <t>r</t>
        </is>
      </c>
      <c r="B18" s="23" t="inlineStr">
        <is>
          <t>r_k</t>
        </is>
      </c>
      <c r="C18" s="26">
        <f>INDEX(A3_Inputs!$J$5:$J$16,$C$7)</f>
        <v/>
      </c>
      <c r="D18" s="10" t="inlineStr">
        <is>
          <t>frac</t>
        </is>
      </c>
      <c r="E18" s="10" t="inlineStr">
        <is>
          <t>Dias</t>
        </is>
      </c>
      <c r="F18" s="10" t="inlineStr">
        <is>
          <t>2 Aug</t>
        </is>
      </c>
      <c r="G18" s="25" t="inlineStr">
        <is>
          <t>Recovery fraction on a stranded non-refundable bundle. DEVIATION FROM A.3: modelled per stage, not as one number, because recovery depends on bundle composition (Dias Q2). Blended r = 0.425 is a sensitivity case only.</t>
        </is>
      </c>
    </row>
    <row r="19">
      <c r="A19" s="71" t="inlineStr">
        <is>
          <t>Probability and value inputs</t>
        </is>
      </c>
      <c r="B19" s="72" t="n"/>
      <c r="C19" s="72" t="n"/>
      <c r="D19" s="72" t="n"/>
      <c r="E19" s="72" t="n"/>
      <c r="F19" s="72" t="n"/>
      <c r="G19" s="72" t="n"/>
    </row>
    <row r="20" ht="15" customHeight="1">
      <c r="A20" s="22" t="inlineStr">
        <is>
          <t>a_2</t>
        </is>
      </c>
      <c r="B20" s="23" t="inlineStr">
        <is>
          <t>a_2</t>
        </is>
      </c>
      <c r="C20" s="27" t="n">
        <v>0.8</v>
      </c>
      <c r="D20" s="10" t="inlineStr">
        <is>
          <t>prob</t>
        </is>
      </c>
      <c r="E20" s="10" t="inlineStr">
        <is>
          <t>Benjamin</t>
        </is>
      </c>
      <c r="F20" s="10" t="inlineStr">
        <is>
          <t>2 Aug</t>
        </is>
      </c>
      <c r="G20" s="25" t="inlineStr">
        <is>
          <t>PLACEHOLDER - advances from group stage to R32.</t>
        </is>
      </c>
    </row>
    <row r="21" ht="15" customHeight="1">
      <c r="A21" s="22" t="inlineStr">
        <is>
          <t>a_3</t>
        </is>
      </c>
      <c r="B21" s="23" t="inlineStr">
        <is>
          <t>a_3</t>
        </is>
      </c>
      <c r="C21" s="27" t="n">
        <v>0.7</v>
      </c>
      <c r="D21" s="10" t="inlineStr">
        <is>
          <t>prob</t>
        </is>
      </c>
      <c r="E21" s="10" t="inlineStr">
        <is>
          <t>Benjamin</t>
        </is>
      </c>
      <c r="F21" s="10" t="inlineStr">
        <is>
          <t>2 Aug</t>
        </is>
      </c>
      <c r="G21" s="25" t="inlineStr">
        <is>
          <t>PLACEHOLDER - advances from R32 to R16.</t>
        </is>
      </c>
    </row>
    <row r="22" ht="15" customHeight="1">
      <c r="A22" s="22" t="inlineStr">
        <is>
          <t>a_4</t>
        </is>
      </c>
      <c r="B22" s="23" t="inlineStr">
        <is>
          <t>a_4</t>
        </is>
      </c>
      <c r="C22" s="27" t="n">
        <v>0.65</v>
      </c>
      <c r="D22" s="10" t="inlineStr">
        <is>
          <t>prob</t>
        </is>
      </c>
      <c r="E22" s="10" t="inlineStr">
        <is>
          <t>Benjamin</t>
        </is>
      </c>
      <c r="F22" s="10" t="inlineStr">
        <is>
          <t>2 Aug</t>
        </is>
      </c>
      <c r="G22" s="25" t="inlineStr">
        <is>
          <t>PLACEHOLDER - advances from R16 to quarter-final.</t>
        </is>
      </c>
    </row>
    <row r="23" ht="15" customHeight="1">
      <c r="A23" s="22" t="inlineStr">
        <is>
          <t>a_5</t>
        </is>
      </c>
      <c r="B23" s="23" t="inlineStr">
        <is>
          <t>a_5</t>
        </is>
      </c>
      <c r="C23" s="27" t="n">
        <v>0.55</v>
      </c>
      <c r="D23" s="10" t="inlineStr">
        <is>
          <t>prob</t>
        </is>
      </c>
      <c r="E23" s="10" t="inlineStr">
        <is>
          <t>Benjamin</t>
        </is>
      </c>
      <c r="F23" s="10" t="inlineStr">
        <is>
          <t>2 Aug</t>
        </is>
      </c>
      <c r="G23" s="25" t="inlineStr">
        <is>
          <t>PLACEHOLDER - advances from quarter-final to semi-final.</t>
        </is>
      </c>
    </row>
    <row r="24" ht="15" customHeight="1">
      <c r="A24" s="22" t="inlineStr">
        <is>
          <t>a_6</t>
        </is>
      </c>
      <c r="B24" s="23" t="inlineStr">
        <is>
          <t>a_6</t>
        </is>
      </c>
      <c r="C24" s="27" t="n">
        <v>0.6</v>
      </c>
      <c r="D24" s="10" t="inlineStr">
        <is>
          <t>prob</t>
        </is>
      </c>
      <c r="E24" s="10" t="inlineStr">
        <is>
          <t>Benjamin</t>
        </is>
      </c>
      <c r="F24" s="10" t="inlineStr">
        <is>
          <t>2 Aug</t>
        </is>
      </c>
      <c r="G24" s="25" t="inlineStr">
        <is>
          <t>PLACEHOLDER - advances from semi-final to the Final.</t>
        </is>
      </c>
    </row>
    <row r="25" ht="25.5" customHeight="1">
      <c r="A25" s="22" t="inlineStr">
        <is>
          <t>P_k cumulative</t>
        </is>
      </c>
      <c r="B25" s="23" t="inlineStr">
        <is>
          <t>P_cum</t>
        </is>
      </c>
      <c r="C25" s="28">
        <f>PRODUCT(C20:C24)</f>
        <v/>
      </c>
      <c r="D25" s="10" t="inlineStr">
        <is>
          <t>prob</t>
        </is>
      </c>
      <c r="E25" s="10" t="inlineStr">
        <is>
          <t>Benjamin</t>
        </is>
      </c>
      <c r="F25" s="10" t="inlineStr">
        <is>
          <t>2 Aug</t>
        </is>
      </c>
      <c r="G25" s="25" t="inlineStr">
        <is>
          <t>Formula, not an entry: the product of the a_k along the path, as A.3 defines it. This is the figure the chained tree will use from the group-stage node.</t>
        </is>
      </c>
    </row>
    <row r="26" ht="48" customHeight="1">
      <c r="A26" s="22" t="inlineStr">
        <is>
          <t>P_k used here</t>
        </is>
      </c>
      <c r="B26" s="23" t="inlineStr">
        <is>
          <t>P_k</t>
        </is>
      </c>
      <c r="C26" s="28">
        <f>C24</f>
        <v/>
      </c>
      <c r="D26" s="10" t="inlineStr">
        <is>
          <t>prob</t>
        </is>
      </c>
      <c r="E26" s="10" t="inlineStr">
        <is>
          <t>Benjamin</t>
        </is>
      </c>
      <c r="F26" s="10" t="inlineStr">
        <is>
          <t>2 Aug</t>
        </is>
      </c>
      <c r="G26" s="25" t="inlineStr">
        <is>
          <t>The standalone Final subtree is solved from the decision point immediately before it, where the fan has already reached the semi-final, so the relevant probability is a_6 alone. Change to =P_cum only if the group agrees the subtree should be scored from the tournament start.</t>
        </is>
      </c>
    </row>
    <row r="27" ht="36.75" customHeight="1">
      <c r="A27" s="22" t="inlineStr">
        <is>
          <t>v_k</t>
        </is>
      </c>
      <c r="B27" s="23" t="inlineStr">
        <is>
          <t>v_k</t>
        </is>
      </c>
      <c r="C27" s="29" t="n">
        <v>12000</v>
      </c>
      <c r="D27" s="10" t="inlineStr">
        <is>
          <t>USD</t>
        </is>
      </c>
      <c r="E27" s="10" t="inlineStr">
        <is>
          <t>Benjamin</t>
        </is>
      </c>
      <c r="F27" s="10" t="inlineStr">
        <is>
          <t>2 Aug</t>
        </is>
      </c>
      <c r="G27" s="25" t="inlineStr">
        <is>
          <t>PLACEHOLDER - willingness to pay to be in the stadium for the Final. Set above the $10,000 lowest official resale listing, since a fan who would not pay that would simply not go. Benjamin's elicited figure replaces this.</t>
        </is>
      </c>
    </row>
    <row r="28">
      <c r="A28" s="71" t="inlineStr">
        <is>
          <t>Risk attitude</t>
        </is>
      </c>
      <c r="B28" s="72" t="n"/>
      <c r="C28" s="72" t="n"/>
      <c r="D28" s="72" t="n"/>
      <c r="E28" s="72" t="n"/>
      <c r="F28" s="72" t="n"/>
      <c r="G28" s="72" t="n"/>
    </row>
    <row r="29" ht="25.5" customHeight="1">
      <c r="A29" s="22" t="inlineStr">
        <is>
          <t>rho</t>
        </is>
      </c>
      <c r="B29" s="23" t="inlineStr">
        <is>
          <t>rho</t>
        </is>
      </c>
      <c r="C29" s="29" t="n">
        <v>2500</v>
      </c>
      <c r="D29" s="10" t="inlineStr">
        <is>
          <t>USD</t>
        </is>
      </c>
      <c r="E29" s="10" t="inlineStr">
        <is>
          <t>Benjamin</t>
        </is>
      </c>
      <c r="F29" s="10" t="inlineStr">
        <is>
          <t>8 Aug</t>
        </is>
      </c>
      <c r="G29" s="25" t="inlineStr">
        <is>
          <t>PLACEHOLDER - risk tolerance for the exponential-utility run. The base case is expected monetary value.</t>
        </is>
      </c>
    </row>
    <row r="30">
      <c r="A30" s="71" t="inlineStr">
        <is>
          <t>Structural flag  -  derived</t>
        </is>
      </c>
      <c r="B30" s="72" t="n"/>
      <c r="C30" s="72" t="n"/>
      <c r="D30" s="72" t="n"/>
      <c r="E30" s="72" t="n"/>
      <c r="F30" s="72" t="n"/>
      <c r="G30" s="72" t="n"/>
    </row>
    <row r="31" ht="36.75" customHeight="1">
      <c r="A31" s="30" t="inlineStr">
        <is>
          <t>(structural)</t>
        </is>
      </c>
      <c r="B31" s="23" t="inlineStr">
        <is>
          <t>rf_avail</t>
        </is>
      </c>
      <c r="C31" s="31">
        <f>IF(B_rf&gt;B_nr,"YES","NO")</f>
        <v/>
      </c>
      <c r="D31" s="10" t="inlineStr">
        <is>
          <t>flag</t>
        </is>
      </c>
      <c r="E31" s="10" t="inlineStr">
        <is>
          <t>Model</t>
        </is>
      </c>
      <c r="F31" s="10" t="inlineStr">
        <is>
          <t>-</t>
        </is>
      </c>
      <c r="G31" s="25" t="inlineStr">
        <is>
          <t>Is a refundable option actually purchasable at this venue? NO at Dallas matches, where the bundle is a bare ticket. When NO, the refundable arm is pruned from the comparison rather than allowed to win (Dias Q7).</t>
        </is>
      </c>
    </row>
    <row r="33">
      <c r="A33" s="2"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46"/>
  <sheetViews>
    <sheetView showGridLines="0" topLeftCell="A27" zoomScaleNormal="100" workbookViewId="0">
      <selection activeCell="A40" sqref="A40"/>
    </sheetView>
  </sheetViews>
  <sheetFormatPr baseColWidth="10" defaultColWidth="8.6328125" defaultRowHeight="14.5"/>
  <cols>
    <col width="46" customWidth="1" min="1" max="1"/>
    <col width="22.36328125" customWidth="1" min="2" max="2"/>
    <col width="23.26953125" customWidth="1" min="3" max="3"/>
    <col width="17" customWidth="1" min="4" max="4"/>
  </cols>
  <sheetData>
    <row r="1" ht="18" customHeight="1">
      <c r="A1" s="56" t="inlineStr">
        <is>
          <t>Round k = FINAL - stage template instantiated and solved</t>
        </is>
      </c>
      <c r="B1" s="53" t="n"/>
      <c r="C1" s="53" t="n"/>
    </row>
    <row r="2">
      <c r="A2" s="2" t="n"/>
    </row>
    <row r="3">
      <c r="A3" s="2" t="n"/>
    </row>
    <row r="4">
      <c r="A4" s="32">
        <f>"Selected stage:  "&amp;Inputs!$C$5&amp;"  -  "&amp;Inputs!$C$8&amp;"  -  "&amp;Inputs!$C$9&amp;"      |      Refundable option purchasable here:  "&amp;rf_avail</f>
        <v/>
      </c>
    </row>
    <row r="6">
      <c r="A6" s="66" t="inlineStr">
        <is>
          <t>Branch 1 - BOOK NON-REFUNDABLE   (pay B_nr today)</t>
        </is>
      </c>
      <c r="B6" s="67" t="n"/>
      <c r="C6" s="67" t="n"/>
      <c r="D6" s="67" t="n"/>
    </row>
    <row r="7">
      <c r="A7" s="68" t="inlineStr">
        <is>
          <t>Outcome</t>
        </is>
      </c>
      <c r="B7" s="68" t="inlineStr">
        <is>
          <t>Probability</t>
        </is>
      </c>
      <c r="C7" s="68" t="inlineStr">
        <is>
          <t>Payoff ($)</t>
        </is>
      </c>
      <c r="D7" s="68" t="inlineStr">
        <is>
          <t>Prob x Payoff</t>
        </is>
      </c>
    </row>
    <row r="8">
      <c r="A8" s="10" t="inlineStr">
        <is>
          <t>Team reaches the Final</t>
        </is>
      </c>
      <c r="B8" s="26">
        <f>P_k</f>
        <v/>
      </c>
      <c r="C8" s="24">
        <f>v_k-B_nr</f>
        <v/>
      </c>
      <c r="D8" s="33">
        <f>B8*C8</f>
        <v/>
      </c>
    </row>
    <row r="9">
      <c r="A9" s="10" t="inlineStr">
        <is>
          <t>Team eliminated - bundle stranded</t>
        </is>
      </c>
      <c r="B9" s="26">
        <f>1-P_k</f>
        <v/>
      </c>
      <c r="C9" s="24">
        <f>-(1-r_k)*B_nr</f>
        <v/>
      </c>
      <c r="D9" s="33">
        <f>B9*C9</f>
        <v/>
      </c>
    </row>
    <row r="10">
      <c r="A10" s="22" t="inlineStr">
        <is>
          <t>EV (non-refundable)</t>
        </is>
      </c>
      <c r="B10" s="34" t="n"/>
      <c r="C10" s="34" t="n"/>
      <c r="D10" s="35">
        <f>SUM(D8:D9)</f>
        <v/>
      </c>
    </row>
    <row r="12">
      <c r="A12" s="63" t="inlineStr">
        <is>
          <t>Branch 2 - BOOK REFUNDABLE   (pay B_rf = B_nr + premium)</t>
        </is>
      </c>
      <c r="B12" s="64" t="n"/>
      <c r="C12" s="64" t="n"/>
      <c r="D12" s="64" t="n"/>
    </row>
    <row r="13">
      <c r="A13" s="65" t="inlineStr">
        <is>
          <t>Outcome</t>
        </is>
      </c>
      <c r="B13" s="65" t="inlineStr">
        <is>
          <t>Probability</t>
        </is>
      </c>
      <c r="C13" s="65" t="inlineStr">
        <is>
          <t>Payoff ($)</t>
        </is>
      </c>
      <c r="D13" s="65" t="inlineStr">
        <is>
          <t>Prob x Payoff</t>
        </is>
      </c>
    </row>
    <row r="14">
      <c r="A14" s="10" t="inlineStr">
        <is>
          <t>Team reaches the Final</t>
        </is>
      </c>
      <c r="B14" s="26">
        <f>P_k</f>
        <v/>
      </c>
      <c r="C14" s="24">
        <f>v_k-B_rf</f>
        <v/>
      </c>
      <c r="D14" s="33">
        <f>B14*C14</f>
        <v/>
      </c>
    </row>
    <row r="15">
      <c r="A15" s="10" t="inlineStr">
        <is>
          <t>Team eliminated - cancel, pay f_k</t>
        </is>
      </c>
      <c r="B15" s="26">
        <f>1-P_k</f>
        <v/>
      </c>
      <c r="C15" s="24">
        <f>-f_k</f>
        <v/>
      </c>
      <c r="D15" s="33">
        <f>B15*C15</f>
        <v/>
      </c>
    </row>
    <row r="16">
      <c r="A16" s="22" t="inlineStr">
        <is>
          <t>EV (refundable)</t>
        </is>
      </c>
      <c r="B16" s="34" t="n"/>
      <c r="C16" s="34" t="n"/>
      <c r="D16" s="35">
        <f>IF(rf_avail="YES",SUM(D14:D15),"")</f>
        <v/>
      </c>
    </row>
    <row r="17">
      <c r="A17" s="36">
        <f>IF(rf_avail="YES","","ARM PRUNED - this venue sells a bare ticket, which has no flexible version, so the refundable branch is not purchasable (Dias Q7). It is excluded from the roll-back below.")</f>
        <v/>
      </c>
    </row>
    <row r="19">
      <c r="A19" s="60" t="inlineStr">
        <is>
          <t>Branch 3 - WAIT   (inner chance node S_k: availability, conditional on reaching the Final)</t>
        </is>
      </c>
      <c r="B19" s="61" t="n"/>
      <c r="C19" s="61" t="n"/>
      <c r="D19" s="61" t="n"/>
    </row>
    <row r="20">
      <c r="A20" s="62" t="inlineStr">
        <is>
          <t>Outcome</t>
        </is>
      </c>
      <c r="B20" s="62" t="inlineStr">
        <is>
          <t>Probability</t>
        </is>
      </c>
      <c r="C20" s="62" t="inlineStr">
        <is>
          <t>Payoff ($)</t>
        </is>
      </c>
      <c r="D20" s="62" t="inlineStr">
        <is>
          <t>Prob x Payoff</t>
        </is>
      </c>
    </row>
    <row r="21">
      <c r="A21" s="10" t="inlineStr">
        <is>
          <t>An acceptable option remains</t>
        </is>
      </c>
      <c r="B21" s="26">
        <f>1-q_k</f>
        <v/>
      </c>
      <c r="C21" s="24">
        <f>v_k-B_late</f>
        <v/>
      </c>
      <c r="D21" s="33">
        <f>B21*C21</f>
        <v/>
      </c>
    </row>
    <row r="22">
      <c r="A22" s="10" t="inlineStr">
        <is>
          <t>Sold out - the fan misses the match</t>
        </is>
      </c>
      <c r="B22" s="26">
        <f>q_k</f>
        <v/>
      </c>
      <c r="C22" s="24" t="n">
        <v>0</v>
      </c>
      <c r="D22" s="33">
        <f>B22*C22</f>
        <v/>
      </c>
    </row>
    <row r="23">
      <c r="A23" s="22" t="inlineStr">
        <is>
          <t>EV of node S_k (conditional on reaching)</t>
        </is>
      </c>
      <c r="B23" s="34" t="n"/>
      <c r="C23" s="34" t="n"/>
      <c r="D23" s="37">
        <f>SUM(D21:D22)</f>
        <v/>
      </c>
    </row>
    <row r="25">
      <c r="A25" s="6" t="inlineStr">
        <is>
          <t>Outcome</t>
        </is>
      </c>
      <c r="B25" s="6" t="inlineStr">
        <is>
          <t>Probability</t>
        </is>
      </c>
      <c r="C25" s="6" t="inlineStr">
        <is>
          <t>Payoff ($)</t>
        </is>
      </c>
      <c r="D25" s="6" t="inlineStr">
        <is>
          <t>Prob x Payoff</t>
        </is>
      </c>
    </row>
    <row r="26">
      <c r="A26" s="10" t="inlineStr">
        <is>
          <t>Team reaches the Final -&gt; node S_k</t>
        </is>
      </c>
      <c r="B26" s="26">
        <f>P_k</f>
        <v/>
      </c>
      <c r="C26" s="24">
        <f>D23</f>
        <v/>
      </c>
      <c r="D26" s="33">
        <f>B26*C26</f>
        <v/>
      </c>
    </row>
    <row r="27">
      <c r="A27" s="10" t="inlineStr">
        <is>
          <t>Team eliminated - no money committed</t>
        </is>
      </c>
      <c r="B27" s="26">
        <f>1-P_k</f>
        <v/>
      </c>
      <c r="C27" s="24" t="n">
        <v>0</v>
      </c>
      <c r="D27" s="33">
        <f>B27*C27</f>
        <v/>
      </c>
    </row>
    <row r="28">
      <c r="A28" s="22" t="inlineStr">
        <is>
          <t>EV (wait)</t>
        </is>
      </c>
      <c r="B28" s="34" t="n"/>
      <c r="C28" s="34" t="n"/>
      <c r="D28" s="35">
        <f>SUM(D26:D27)</f>
        <v/>
      </c>
    </row>
    <row r="30">
      <c r="A30" s="20" t="inlineStr">
        <is>
          <t>Roll-back - the round-k decision</t>
        </is>
      </c>
      <c r="B30" s="21" t="n"/>
      <c r="C30" s="21" t="n"/>
      <c r="D30" s="21" t="n"/>
    </row>
    <row r="31">
      <c r="A31" s="6" t="inlineStr">
        <is>
          <t>Alternative</t>
        </is>
      </c>
      <c r="B31" s="6" t="inlineStr">
        <is>
          <t>BOOK NON-REFUNDABLE</t>
        </is>
      </c>
      <c r="C31" s="6" t="inlineStr">
        <is>
          <t>BOOK REFUNDABLE</t>
        </is>
      </c>
      <c r="D31" s="6" t="inlineStr">
        <is>
          <t>WAIT</t>
        </is>
      </c>
      <c r="E31" s="6" t="inlineStr">
        <is>
          <t>STAY HOME</t>
        </is>
      </c>
    </row>
    <row r="32">
      <c r="A32" s="22" t="inlineStr">
        <is>
          <t>Expected net value</t>
        </is>
      </c>
      <c r="B32" s="33">
        <f>D10</f>
        <v/>
      </c>
      <c r="C32" s="33">
        <f>D16</f>
        <v/>
      </c>
      <c r="D32" s="33">
        <f>D28</f>
        <v/>
      </c>
      <c r="E32" s="33" t="n">
        <v>0</v>
      </c>
    </row>
    <row r="33">
      <c r="A33" s="16" t="inlineStr">
        <is>
          <t>Best expected net value</t>
        </is>
      </c>
      <c r="B33" s="38">
        <f>MAX(B32:E32)</f>
        <v/>
      </c>
    </row>
    <row r="34">
      <c r="A34" s="39" t="inlineStr">
        <is>
          <t>OPTIMAL DECISION</t>
        </is>
      </c>
      <c r="B34" s="40">
        <f>INDEX($B$31:$E$31,MATCH(MAX(B32:E32),B32:E32,0))</f>
        <v/>
      </c>
    </row>
    <row r="35">
      <c r="A35" s="18" t="inlineStr">
        <is>
          <t>Value of the best arm over the runner-up</t>
        </is>
      </c>
      <c r="B35" s="41">
        <f>MAX(B32:E32)-LARGE(B32:E32,2)</f>
        <v/>
      </c>
    </row>
    <row r="36">
      <c r="A36" s="74" t="inlineStr">
        <is>
          <t>Stay home = no booking, no trip, $0. It is the baseline every alternative must beat, and it is included in the roll-back above so the model can never recommend a booking whose expected net value is negative. (Added 29 Jul; the previous MAX ranged over B32:D32 only.)</t>
        </is>
      </c>
    </row>
    <row r="37">
      <c r="A37" s="2" t="n"/>
    </row>
    <row r="39">
      <c r="A39" s="58" t="inlineStr">
        <is>
          <t>Sensitivity - exponential utility  u(x) = 1 - e^(-x/rho)   [NOT the base case]</t>
        </is>
      </c>
      <c r="B39" s="59" t="n"/>
      <c r="C39" s="59" t="n"/>
      <c r="D39" s="21" t="n"/>
    </row>
    <row r="40">
      <c r="A40" s="42" t="inlineStr">
        <is>
          <t>Alternative</t>
        </is>
      </c>
      <c r="B40" s="42" t="inlineStr">
        <is>
          <t>Expected utility</t>
        </is>
      </c>
      <c r="C40" s="42" t="inlineStr">
        <is>
          <t>Certain equivalent ($)</t>
        </is>
      </c>
    </row>
    <row r="41">
      <c r="A41" s="10" t="inlineStr">
        <is>
          <t>BOOK NON-REFUNDABLE</t>
        </is>
      </c>
      <c r="B41" s="43">
        <f>B8*(1-EXP(-C8/rho))+B9*(1-EXP(-C9/rho))</f>
        <v/>
      </c>
      <c r="C41" s="33">
        <f>IF(ISNUMBER(B41),IFERROR(-rho*LN(1-B41),"n/a"),"")</f>
        <v/>
      </c>
    </row>
    <row r="42">
      <c r="A42" s="10" t="inlineStr">
        <is>
          <t>BOOK REFUNDABLE</t>
        </is>
      </c>
      <c r="B42" s="43">
        <f>IF(rf_avail="YES",B14*(1-EXP(-C14/rho))+B15*(1-EXP(-C15/rho)),"")</f>
        <v/>
      </c>
      <c r="C42" s="33">
        <f>IF(ISNUMBER(B42),IFERROR(-rho*LN(1-B42),"n/a"),"")</f>
        <v/>
      </c>
    </row>
    <row r="43">
      <c r="A43" s="10" t="inlineStr">
        <is>
          <t>WAIT</t>
        </is>
      </c>
      <c r="B43" s="43">
        <f>P_k*(1-q_k)*(1-EXP(-(v_k-B_late)/rho))</f>
        <v/>
      </c>
      <c r="C43" s="33">
        <f>IF(ISNUMBER(B43),IFERROR(-rho*LN(1-B43),"n/a"),"")</f>
        <v/>
      </c>
    </row>
    <row r="44">
      <c r="A44" s="10" t="inlineStr">
        <is>
          <t>STAY HOME</t>
        </is>
      </c>
      <c r="B44" s="43" t="n">
        <v>0</v>
      </c>
      <c r="C44" s="33" t="n">
        <v>0</v>
      </c>
    </row>
    <row r="45">
      <c r="A45" s="10" t="inlineStr">
        <is>
          <t>DECISION under risk aversion</t>
        </is>
      </c>
      <c r="B45" s="43">
        <f>INDEX($A$41:$A$44,MATCH(MAX(B41:B44),B41:B44,0))</f>
        <v/>
      </c>
      <c r="C45" s="33" t="n"/>
    </row>
    <row r="46">
      <c r="A46" s="2" t="n"/>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O31"/>
  <sheetViews>
    <sheetView showGridLines="0" zoomScaleNormal="100" workbookViewId="0">
      <selection activeCell="A10" sqref="A10"/>
    </sheetView>
  </sheetViews>
  <sheetFormatPr baseColWidth="10" defaultColWidth="8.6328125" defaultRowHeight="14.5"/>
  <cols>
    <col width="44.7265625" customWidth="1" min="1" max="1"/>
    <col width="14.81640625" customWidth="1" min="2" max="2"/>
    <col width="18.1796875" customWidth="1" min="3" max="3"/>
    <col width="12" customWidth="1" min="4" max="6"/>
    <col width="10" customWidth="1" min="7" max="7"/>
    <col width="9" customWidth="1" min="8" max="9"/>
    <col width="13" customWidth="1" min="10" max="12"/>
    <col width="15" customWidth="1" min="13" max="13"/>
    <col width="44" customWidth="1" min="14" max="14"/>
    <col width="11" customWidth="1" min="15" max="15"/>
  </cols>
  <sheetData>
    <row r="1" ht="18" customHeight="1">
      <c r="A1" s="56" t="inlineStr">
        <is>
          <t>A.6 validation checklist</t>
        </is>
      </c>
    </row>
    <row r="2">
      <c r="A2" s="2" t="n"/>
    </row>
    <row r="4">
      <c r="A4" s="57" t="inlineStr">
        <is>
          <t>A.6 check 1 - the spreadsheet roll-back reproduces the hand calculation to the cent</t>
        </is>
      </c>
      <c r="B4" s="53" t="n"/>
      <c r="C4" s="53" t="n"/>
      <c r="D4" s="53" t="n"/>
    </row>
    <row r="5">
      <c r="A5" s="54" t="inlineStr">
        <is>
          <t>Branch</t>
        </is>
      </c>
      <c r="B5" s="54" t="inlineStr">
        <is>
          <t>By hand</t>
        </is>
      </c>
      <c r="C5" s="54" t="inlineStr">
        <is>
          <t>Model (Final tab)</t>
        </is>
      </c>
      <c r="D5" s="54" t="inlineStr">
        <is>
          <t>Difference</t>
        </is>
      </c>
      <c r="E5" s="54" t="inlineStr">
        <is>
          <t>Result</t>
        </is>
      </c>
    </row>
    <row r="6">
      <c r="A6" s="10" t="inlineStr">
        <is>
          <t>EV (non-refundable)</t>
        </is>
      </c>
      <c r="B6" s="45" t="n">
        <v>2740.79</v>
      </c>
      <c r="C6" s="24">
        <f>Final!D10</f>
        <v/>
      </c>
      <c r="D6" s="33">
        <f>ROUND(C6,2)-B6</f>
        <v/>
      </c>
      <c r="E6" s="46">
        <f>IF(ABS(D6)&lt;0.005,"PASS","FAIL")</f>
        <v/>
      </c>
    </row>
    <row r="7">
      <c r="A7" s="10" t="inlineStr">
        <is>
          <t>EV (refundable)</t>
        </is>
      </c>
      <c r="B7" s="45" t="n">
        <v>3325.57</v>
      </c>
      <c r="C7" s="24">
        <f>Final!D16</f>
        <v/>
      </c>
      <c r="D7" s="33">
        <f>ROUND(C7,2)-B7</f>
        <v/>
      </c>
      <c r="E7" s="46">
        <f>IF(ABS(D7)&lt;0.005,"PASS","FAIL")</f>
        <v/>
      </c>
    </row>
    <row r="8">
      <c r="A8" s="10" t="inlineStr">
        <is>
          <t>EV (wait)</t>
        </is>
      </c>
      <c r="B8" s="45" t="n">
        <v>-590.35</v>
      </c>
      <c r="C8" s="24">
        <f>Final!D28</f>
        <v/>
      </c>
      <c r="D8" s="33">
        <f>ROUND(C8,2)-B8</f>
        <v/>
      </c>
      <c r="E8" s="46">
        <f>IF(ABS(D8)&lt;0.005,"PASS","FAIL")</f>
        <v/>
      </c>
    </row>
    <row r="9">
      <c r="A9" s="52" t="n"/>
      <c r="B9" s="53" t="n"/>
      <c r="C9" s="53" t="n"/>
      <c r="D9" s="53" t="n"/>
      <c r="E9" s="53" t="n"/>
      <c r="F9" s="53" t="n"/>
      <c r="G9" s="53" t="n"/>
      <c r="H9" s="53" t="n"/>
      <c r="I9" s="53" t="n"/>
      <c r="J9" s="53" t="n"/>
      <c r="K9" s="53" t="n"/>
      <c r="L9" s="53" t="n"/>
    </row>
    <row r="12">
      <c r="A12" s="57" t="inlineStr">
        <is>
          <t>A.6 check 2 - degenerate tests, plus one structural test</t>
        </is>
      </c>
      <c r="B12" s="53" t="n"/>
      <c r="C12" s="53" t="n"/>
      <c r="D12" s="53" t="n"/>
    </row>
    <row r="13">
      <c r="A13" s="55" t="inlineStr">
        <is>
          <t>Test</t>
        </is>
      </c>
      <c r="B13" s="55" t="inlineStr">
        <is>
          <t>P</t>
        </is>
      </c>
      <c r="C13" s="55" t="inlineStr">
        <is>
          <t>v</t>
        </is>
      </c>
      <c r="D13" s="55" t="inlineStr">
        <is>
          <t>B_nr</t>
        </is>
      </c>
      <c r="E13" s="55" t="inlineStr">
        <is>
          <t>B_rf</t>
        </is>
      </c>
      <c r="F13" s="55" t="inlineStr">
        <is>
          <t>B_late</t>
        </is>
      </c>
      <c r="G13" s="55" t="inlineStr">
        <is>
          <t>f</t>
        </is>
      </c>
      <c r="H13" s="55" t="inlineStr">
        <is>
          <t>r</t>
        </is>
      </c>
      <c r="I13" s="55" t="inlineStr">
        <is>
          <t>q</t>
        </is>
      </c>
      <c r="J13" s="55" t="inlineStr">
        <is>
          <t>EV(nr)</t>
        </is>
      </c>
      <c r="K13" s="55" t="inlineStr">
        <is>
          <t>EV(rf)</t>
        </is>
      </c>
      <c r="L13" s="55" t="inlineStr">
        <is>
          <t>EV(wait)</t>
        </is>
      </c>
      <c r="M13" s="55" t="inlineStr">
        <is>
          <t>Winner</t>
        </is>
      </c>
      <c r="N13" s="55" t="inlineStr">
        <is>
          <t>Pass criterion</t>
        </is>
      </c>
      <c r="O13" s="55" t="inlineStr">
        <is>
          <t>Result</t>
        </is>
      </c>
    </row>
    <row r="14" ht="30" customHeight="1">
      <c r="A14" s="10" t="inlineStr">
        <is>
          <t>1. P = 1 and q = 0  -&gt;  cheapest bundle wins</t>
        </is>
      </c>
      <c r="B14" s="9" t="n">
        <v>1</v>
      </c>
      <c r="C14" s="47">
        <f>v_k</f>
        <v/>
      </c>
      <c r="D14" s="24">
        <f>B_nr</f>
        <v/>
      </c>
      <c r="E14" s="24">
        <f>B_rf</f>
        <v/>
      </c>
      <c r="F14" s="24">
        <f>B_late</f>
        <v/>
      </c>
      <c r="G14" s="24">
        <f>f_k</f>
        <v/>
      </c>
      <c r="H14" s="26">
        <f>r_k</f>
        <v/>
      </c>
      <c r="I14" s="9" t="n">
        <v>0</v>
      </c>
      <c r="J14" s="33">
        <f>B14*(C14-D14)-(1-B14)*(1-H14)*D14</f>
        <v/>
      </c>
      <c r="K14" s="33">
        <f>IF(E14&gt;D14,B14*(C14-E14)-(1-B14)*G14,"pruned")</f>
        <v/>
      </c>
      <c r="L14" s="33">
        <f>B14*(1-I14)*(C14-F14)</f>
        <v/>
      </c>
      <c r="M14" s="46">
        <f>INDEX($J$13:$L$13,MATCH(MAX(J14:L14),J14:L14,0))</f>
        <v/>
      </c>
      <c r="N14" s="25" t="inlineStr">
        <is>
          <t>The winning branch must be the one with the lowest bundle price</t>
        </is>
      </c>
      <c r="O14" s="46">
        <f>IF(MATCH(MAX(J14:L14),J14:L14,0)=MATCH(MIN(D14:F14),D14:F14,0),"PASS","FAIL")</f>
        <v/>
      </c>
    </row>
    <row r="15" ht="30" customHeight="1">
      <c r="A15" s="10" t="inlineStr">
        <is>
          <t>2. v = 0  -&gt;  do not book</t>
        </is>
      </c>
      <c r="B15" s="26">
        <f>P_k</f>
        <v/>
      </c>
      <c r="C15" s="48" t="n">
        <v>0</v>
      </c>
      <c r="D15" s="24">
        <f>B_nr</f>
        <v/>
      </c>
      <c r="E15" s="24">
        <f>B_rf</f>
        <v/>
      </c>
      <c r="F15" s="24">
        <f>B_late</f>
        <v/>
      </c>
      <c r="G15" s="24">
        <f>f_k</f>
        <v/>
      </c>
      <c r="H15" s="26">
        <f>r_k</f>
        <v/>
      </c>
      <c r="I15" s="26">
        <f>q_k</f>
        <v/>
      </c>
      <c r="J15" s="33">
        <f>B15*(C15-D15)-(1-B15)*(1-H15)*D15</f>
        <v/>
      </c>
      <c r="K15" s="33">
        <f>IF(E15&gt;D15,B15*(C15-E15)-(1-B15)*G15,"pruned")</f>
        <v/>
      </c>
      <c r="L15" s="33">
        <f>B15*(1-I15)*(C15-F15)</f>
        <v/>
      </c>
      <c r="M15" s="46">
        <f>INDEX($J$13:$L$13,MATCH(MAX(J15:L15),J15:L15,0))</f>
        <v/>
      </c>
      <c r="N15" s="25" t="inlineStr">
        <is>
          <t>No alternative may beat the zero of not booking</t>
        </is>
      </c>
      <c r="O15" s="46">
        <f>IF(MAX(J15:L15)&lt;=0.0000001,"PASS","FAIL")</f>
        <v/>
      </c>
    </row>
    <row r="16" ht="30" customHeight="1">
      <c r="A16" s="10" t="inlineStr">
        <is>
          <t>3. r = 1  -&gt;  non-refundable dominates refundable</t>
        </is>
      </c>
      <c r="B16" s="26">
        <f>P_k</f>
        <v/>
      </c>
      <c r="C16" s="47">
        <f>v_k</f>
        <v/>
      </c>
      <c r="D16" s="24">
        <f>B_nr</f>
        <v/>
      </c>
      <c r="E16" s="24">
        <f>B_rf</f>
        <v/>
      </c>
      <c r="F16" s="24">
        <f>B_late</f>
        <v/>
      </c>
      <c r="G16" s="24">
        <f>f_k</f>
        <v/>
      </c>
      <c r="H16" s="9" t="n">
        <v>1</v>
      </c>
      <c r="I16" s="26">
        <f>q_k</f>
        <v/>
      </c>
      <c r="J16" s="33">
        <f>B16*(C16-D16)-(1-B16)*(1-H16)*D16</f>
        <v/>
      </c>
      <c r="K16" s="33">
        <f>IF(E16&gt;D16,B16*(C16-E16)-(1-B16)*G16,"pruned")</f>
        <v/>
      </c>
      <c r="L16" s="33">
        <f>B16*(1-I16)*(C16-F16)</f>
        <v/>
      </c>
      <c r="M16" s="46">
        <f>INDEX($J$13:$L$13,MATCH(MAX(J16:L16),J16:L16,0))</f>
        <v/>
      </c>
      <c r="N16" s="25" t="inlineStr">
        <is>
          <t>EV(nr) must be at least EV(rf)</t>
        </is>
      </c>
      <c r="O16" s="46">
        <f>IF(J16&gt;=K16-0.0000001,"PASS","FAIL")</f>
        <v/>
      </c>
    </row>
    <row r="17" ht="30" customHeight="1">
      <c r="A17" s="10" t="inlineStr">
        <is>
          <t>4. q = 0 and B_late = B_nr  -&gt;  waiting dominates</t>
        </is>
      </c>
      <c r="B17" s="26">
        <f>P_k</f>
        <v/>
      </c>
      <c r="C17" s="47">
        <f>v_k</f>
        <v/>
      </c>
      <c r="D17" s="24">
        <f>B_nr</f>
        <v/>
      </c>
      <c r="E17" s="24">
        <f>B_rf</f>
        <v/>
      </c>
      <c r="F17" s="24">
        <f>B_nr</f>
        <v/>
      </c>
      <c r="G17" s="24">
        <f>f_k</f>
        <v/>
      </c>
      <c r="H17" s="26">
        <f>r_k</f>
        <v/>
      </c>
      <c r="I17" s="9" t="n">
        <v>0</v>
      </c>
      <c r="J17" s="33">
        <f>B17*(C17-D17)-(1-B17)*(1-H17)*D17</f>
        <v/>
      </c>
      <c r="K17" s="33">
        <f>IF(E17&gt;D17,B17*(C17-E17)-(1-B17)*G17,"pruned")</f>
        <v/>
      </c>
      <c r="L17" s="33">
        <f>B17*(1-I17)*(C17-F17)</f>
        <v/>
      </c>
      <c r="M17" s="46">
        <f>INDEX($J$13:$L$13,MATCH(MAX(J17:L17),J17:L17,0))</f>
        <v/>
      </c>
      <c r="N17" s="25" t="inlineStr">
        <is>
          <t>EV(wait) must be at least the other two</t>
        </is>
      </c>
      <c r="O17" s="46">
        <f>IF(AND(L17&gt;=J17-0.0000001,L17&gt;=K17-0.0000001),"PASS","FAIL")</f>
        <v/>
      </c>
    </row>
    <row r="18" ht="30" customHeight="1">
      <c r="A18" s="10" t="inlineStr">
        <is>
          <t>5. B_rf = B_nr (Dallas)  -&gt;  refundable arm pruned</t>
        </is>
      </c>
      <c r="B18" s="26">
        <f>P_k</f>
        <v/>
      </c>
      <c r="C18" s="47">
        <f>v_k</f>
        <v/>
      </c>
      <c r="D18" s="24">
        <f>B_nr</f>
        <v/>
      </c>
      <c r="E18" s="24">
        <f>B_nr</f>
        <v/>
      </c>
      <c r="F18" s="24">
        <f>B_late</f>
        <v/>
      </c>
      <c r="G18" s="24">
        <f>f_k</f>
        <v/>
      </c>
      <c r="H18" s="26">
        <f>r_k</f>
        <v/>
      </c>
      <c r="I18" s="26">
        <f>q_k</f>
        <v/>
      </c>
      <c r="J18" s="33">
        <f>B18*(C18-D18)-(1-B18)*(1-H18)*D18</f>
        <v/>
      </c>
      <c r="K18" s="33">
        <f>IF(E18&gt;D18,B18*(C18-E18)-(1-B18)*G18,"pruned")</f>
        <v/>
      </c>
      <c r="L18" s="33">
        <f>B18*(1-I18)*(C18-F18)</f>
        <v/>
      </c>
      <c r="M18" s="46">
        <f>INDEX($J$13:$L$13,MATCH(MAX(J18:L18),J18:L18,0))</f>
        <v/>
      </c>
      <c r="N18" s="25" t="inlineStr">
        <is>
          <t>The arm is unavailable, so it must not be selected even though it scores highest unpruned (Dias Q7)</t>
        </is>
      </c>
      <c r="O18" s="46">
        <f>IF(M18&lt;&gt;"EV(rf)","PASS","FAIL")</f>
        <v/>
      </c>
    </row>
    <row r="20" ht="15.5" customHeight="1">
      <c r="A20" s="49" t="inlineStr">
        <is>
          <t>OVERALL CHECKLIST RESULT</t>
        </is>
      </c>
      <c r="B20" s="50">
        <f>IF(AND(COUNTIF(E6:E8,"PASS")=3,COUNTIF(O14:O18,"PASS")=5),"PASS","FAIL")</f>
        <v/>
      </c>
    </row>
    <row r="22" ht="392" customHeight="1">
      <c r="A22" s="3" t="inlineStr">
        <is>
          <t>A.6 check 3 - cell naming</t>
        </is>
      </c>
      <c r="B22" s="51" t="inlineStr">
        <is>
          <t>Met. Every A.3 input is an Excel defined name (see column B of the Inputs tab) and every formula uses it. Dias's figures arrive by lookup, so no number is ever retyped. Two names differ from the A.3 glyphs because Excel forbids superscripts and reserves the single letter r: B_k^nr is B_nr, and r is r_k.</t>
        </is>
      </c>
    </row>
    <row r="24">
      <c r="A24" s="3" t="inlineStr">
        <is>
          <t>A.6 check 4 - Benjamin's elicitation</t>
        </is>
      </c>
      <c r="B24" s="17" t="inlineStr">
        <is>
          <t>Outstanding, and independent of the model. Hamilton runs the session 30 Jul - 1 Aug, before Benjamin sees any output from this file.</t>
        </is>
      </c>
    </row>
    <row r="26">
      <c r="A26" s="56" t="inlineStr">
        <is>
          <t>Check 9 - the stay-home arm is in the roll-back</t>
        </is>
      </c>
    </row>
    <row r="27">
      <c r="A27" t="inlineStr">
        <is>
          <t>The roll-back on the Final sheet must range over four alternatives, not three, so that a negative-EV booking can never be selected.</t>
        </is>
      </c>
    </row>
    <row r="28">
      <c r="A28" t="inlineStr">
        <is>
          <t>Best EV must be &gt;= 0 at every set of inputs:</t>
        </is>
      </c>
      <c r="C28">
        <f>Final!B33</f>
        <v/>
      </c>
      <c r="E28">
        <f>IF(Final!B33&gt;=-0.005,"PASS","FAIL")</f>
        <v/>
      </c>
    </row>
    <row r="29">
      <c r="A29" t="inlineStr">
        <is>
          <t>Stay home must be reachable as the answer - set v_k = 0 and the optimal decision must read STAY HOME:</t>
        </is>
      </c>
    </row>
    <row r="30">
      <c r="A30" t="inlineStr">
        <is>
          <t xml:space="preserve">  (manual test - set v_k to 0 on the Inputs sheet, confirm cell Final!B34 reads STAY HOME, then undo)</t>
        </is>
      </c>
    </row>
    <row r="31">
      <c r="A31" t="inlineStr">
        <is>
          <t>Added 29 Jul 2026. Previously Final!B33 was =MAX(B32:D32), which omitted the do-nothing alternative required by A.6.</t>
        </is>
      </c>
    </row>
  </sheetData>
  <conditionalFormatting sqref="B20">
    <cfRule type="cellIs" priority="6" operator="equal" dxfId="1">
      <formula>"PASS"</formula>
    </cfRule>
    <cfRule type="cellIs" priority="7" operator="equal" dxfId="0">
      <formula>"FAIL"</formula>
    </cfRule>
  </conditionalFormatting>
  <conditionalFormatting sqref="E6:E8">
    <cfRule type="cellIs" priority="2" operator="equal" dxfId="1">
      <formula>"PASS"</formula>
    </cfRule>
    <cfRule type="cellIs" priority="3" operator="equal" dxfId="0">
      <formula>"FAIL"</formula>
    </cfRule>
  </conditionalFormatting>
  <conditionalFormatting sqref="O14:O18">
    <cfRule type="cellIs" priority="4" operator="equal" dxfId="1">
      <formula>"PASS"</formula>
    </cfRule>
    <cfRule type="cellIs" priority="5" operator="equal" dxfId="0">
      <formula>"FAIL"</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2026-07-29T03:43:12Z</dcterms:created>
  <dcterms:modified xsi:type="dcterms:W3CDTF">2026-07-29T20:54:49Z</dcterms:modified>
  <cp:lastModifiedBy>Euge 011</cp:lastModifiedBy>
  <cp:revision>0</cp:revision>
</cp:coreProperties>
</file>